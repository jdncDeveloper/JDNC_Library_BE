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simsimhaekoon/Desktop/JDNC_Lib/JDNC_Library_BE/src/main/resources/"/>
    </mc:Choice>
  </mc:AlternateContent>
  <xr:revisionPtr revIDLastSave="0" documentId="13_ncr:1_{C4C08FF3-95CA-F44A-92C9-48FF70FC1178}" xr6:coauthVersionLast="47" xr6:coauthVersionMax="47" xr10:uidLastSave="{00000000-0000-0000-0000-000000000000}"/>
  <bookViews>
    <workbookView xWindow="-1920" yWindow="-18400" windowWidth="33600" windowHeight="17140" xr2:uid="{00000000-000D-0000-FFFF-FFFF00000000}"/>
  </bookViews>
  <sheets>
    <sheet name="대여현황" sheetId="10" r:id="rId1"/>
    <sheet name="TAM-T" sheetId="9" r:id="rId2"/>
    <sheet name="TAM-A" sheetId="3" r:id="rId3"/>
    <sheet name="TAM-M" sheetId="4" r:id="rId4"/>
    <sheet name="NA-N" sheetId="8" r:id="rId5"/>
    <sheet name="NA-A" sheetId="6" r:id="rId6"/>
  </sheets>
  <definedNames>
    <definedName name="_xlnm._FilterDatabase" localSheetId="0" hidden="1">대여현황!$A$3:$F$200</definedName>
    <definedName name="_xlnm._FilterDatabase" localSheetId="5" hidden="1">'NA-A'!$A$2:$F$200</definedName>
    <definedName name="_xlnm._FilterDatabase" localSheetId="4" hidden="1">'NA-N'!$A$2:$F$200</definedName>
    <definedName name="_xlnm._FilterDatabase" localSheetId="2" hidden="1">'TAM-A'!$A$2:$F$200</definedName>
    <definedName name="_xlnm._FilterDatabase" localSheetId="3" hidden="1">'TAM-M'!$A$2:$F$200</definedName>
    <definedName name="_xlnm._FilterDatabase" localSheetId="1" hidden="1">'TAM-T'!$A$2:$F$200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3" i="8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3" i="4"/>
  <c r="D3" i="4"/>
  <c r="E3" i="4"/>
  <c r="C3" i="4"/>
  <c r="C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3" i="3"/>
  <c r="F5" i="9"/>
  <c r="F4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3" i="9"/>
  <c r="E4" i="9"/>
  <c r="E5" i="9"/>
  <c r="E6" i="9"/>
  <c r="E7" i="9"/>
  <c r="E8" i="9"/>
  <c r="E9" i="9"/>
  <c r="E10" i="9"/>
  <c r="E22" i="9"/>
  <c r="C22" i="9"/>
  <c r="E21" i="9"/>
  <c r="C4" i="6"/>
  <c r="D4" i="6"/>
  <c r="E4" i="6"/>
  <c r="C5" i="6"/>
  <c r="D5" i="6"/>
  <c r="E5" i="6"/>
  <c r="C6" i="6"/>
  <c r="D6" i="6"/>
  <c r="E6" i="6"/>
  <c r="C7" i="6"/>
  <c r="D7" i="6"/>
  <c r="E7" i="6"/>
  <c r="C8" i="6"/>
  <c r="D8" i="6"/>
  <c r="E8" i="6"/>
  <c r="C9" i="6"/>
  <c r="D9" i="6"/>
  <c r="E9" i="6"/>
  <c r="C10" i="6"/>
  <c r="D10" i="6"/>
  <c r="E10" i="6"/>
  <c r="C11" i="6"/>
  <c r="D11" i="6"/>
  <c r="E11" i="6"/>
  <c r="C12" i="6"/>
  <c r="D12" i="6"/>
  <c r="E12" i="6"/>
  <c r="C13" i="6"/>
  <c r="D13" i="6"/>
  <c r="E13" i="6"/>
  <c r="C14" i="6"/>
  <c r="D14" i="6"/>
  <c r="E14" i="6"/>
  <c r="C15" i="6"/>
  <c r="D15" i="6"/>
  <c r="E15" i="6"/>
  <c r="C16" i="6"/>
  <c r="D16" i="6"/>
  <c r="E16" i="6"/>
  <c r="C17" i="6"/>
  <c r="D17" i="6"/>
  <c r="E17" i="6"/>
  <c r="C18" i="6"/>
  <c r="D18" i="6"/>
  <c r="E18" i="6"/>
  <c r="C19" i="6"/>
  <c r="D19" i="6"/>
  <c r="E19" i="6"/>
  <c r="C20" i="6"/>
  <c r="D20" i="6"/>
  <c r="E20" i="6"/>
  <c r="C21" i="6"/>
  <c r="D21" i="6"/>
  <c r="E21" i="6"/>
  <c r="C22" i="6"/>
  <c r="D22" i="6"/>
  <c r="E22" i="6"/>
  <c r="C23" i="6"/>
  <c r="D23" i="6"/>
  <c r="E23" i="6"/>
  <c r="C24" i="6"/>
  <c r="D24" i="6"/>
  <c r="E24" i="6"/>
  <c r="C25" i="6"/>
  <c r="D25" i="6"/>
  <c r="E25" i="6"/>
  <c r="C26" i="6"/>
  <c r="D26" i="6"/>
  <c r="E26" i="6"/>
  <c r="C27" i="6"/>
  <c r="D27" i="6"/>
  <c r="E27" i="6"/>
  <c r="C28" i="6"/>
  <c r="D28" i="6"/>
  <c r="E28" i="6"/>
  <c r="C29" i="6"/>
  <c r="D29" i="6"/>
  <c r="E29" i="6"/>
  <c r="C30" i="6"/>
  <c r="D30" i="6"/>
  <c r="E30" i="6"/>
  <c r="C31" i="6"/>
  <c r="D31" i="6"/>
  <c r="E31" i="6"/>
  <c r="C32" i="6"/>
  <c r="D32" i="6"/>
  <c r="E32" i="6"/>
  <c r="C33" i="6"/>
  <c r="D33" i="6"/>
  <c r="E33" i="6"/>
  <c r="C34" i="6"/>
  <c r="D34" i="6"/>
  <c r="E34" i="6"/>
  <c r="C35" i="6"/>
  <c r="D35" i="6"/>
  <c r="E35" i="6"/>
  <c r="C36" i="6"/>
  <c r="D36" i="6"/>
  <c r="E36" i="6"/>
  <c r="C37" i="6"/>
  <c r="D37" i="6"/>
  <c r="E37" i="6"/>
  <c r="C38" i="6"/>
  <c r="D38" i="6"/>
  <c r="E38" i="6"/>
  <c r="C39" i="6"/>
  <c r="D39" i="6"/>
  <c r="E39" i="6"/>
  <c r="C40" i="6"/>
  <c r="D40" i="6"/>
  <c r="E40" i="6"/>
  <c r="C41" i="6"/>
  <c r="D41" i="6"/>
  <c r="E41" i="6"/>
  <c r="C42" i="6"/>
  <c r="D42" i="6"/>
  <c r="E42" i="6"/>
  <c r="C43" i="6"/>
  <c r="D43" i="6"/>
  <c r="E43" i="6"/>
  <c r="C44" i="6"/>
  <c r="D44" i="6"/>
  <c r="E44" i="6"/>
  <c r="C45" i="6"/>
  <c r="D45" i="6"/>
  <c r="E45" i="6"/>
  <c r="C46" i="6"/>
  <c r="D46" i="6"/>
  <c r="E46" i="6"/>
  <c r="C47" i="6"/>
  <c r="D47" i="6"/>
  <c r="E47" i="6"/>
  <c r="C48" i="6"/>
  <c r="D48" i="6"/>
  <c r="E48" i="6"/>
  <c r="C49" i="6"/>
  <c r="D49" i="6"/>
  <c r="E49" i="6"/>
  <c r="C50" i="6"/>
  <c r="D50" i="6"/>
  <c r="E50" i="6"/>
  <c r="C51" i="6"/>
  <c r="D51" i="6"/>
  <c r="E51" i="6"/>
  <c r="C52" i="6"/>
  <c r="D52" i="6"/>
  <c r="E52" i="6"/>
  <c r="C53" i="6"/>
  <c r="D53" i="6"/>
  <c r="E53" i="6"/>
  <c r="C54" i="6"/>
  <c r="D54" i="6"/>
  <c r="E54" i="6"/>
  <c r="C55" i="6"/>
  <c r="D55" i="6"/>
  <c r="E55" i="6"/>
  <c r="C56" i="6"/>
  <c r="D56" i="6"/>
  <c r="E56" i="6"/>
  <c r="C57" i="6"/>
  <c r="D57" i="6"/>
  <c r="E57" i="6"/>
  <c r="C58" i="6"/>
  <c r="D58" i="6"/>
  <c r="E58" i="6"/>
  <c r="C59" i="6"/>
  <c r="D59" i="6"/>
  <c r="E59" i="6"/>
  <c r="C60" i="6"/>
  <c r="D60" i="6"/>
  <c r="E60" i="6"/>
  <c r="C61" i="6"/>
  <c r="D61" i="6"/>
  <c r="E61" i="6"/>
  <c r="C62" i="6"/>
  <c r="D62" i="6"/>
  <c r="E62" i="6"/>
  <c r="C63" i="6"/>
  <c r="D63" i="6"/>
  <c r="E63" i="6"/>
  <c r="C64" i="6"/>
  <c r="D64" i="6"/>
  <c r="E64" i="6"/>
  <c r="C65" i="6"/>
  <c r="D65" i="6"/>
  <c r="E65" i="6"/>
  <c r="C66" i="6"/>
  <c r="D66" i="6"/>
  <c r="E66" i="6"/>
  <c r="C67" i="6"/>
  <c r="D67" i="6"/>
  <c r="E67" i="6"/>
  <c r="C68" i="6"/>
  <c r="D68" i="6"/>
  <c r="E68" i="6"/>
  <c r="C69" i="6"/>
  <c r="D69" i="6"/>
  <c r="E69" i="6"/>
  <c r="C70" i="6"/>
  <c r="D70" i="6"/>
  <c r="E70" i="6"/>
  <c r="C71" i="6"/>
  <c r="D71" i="6"/>
  <c r="E71" i="6"/>
  <c r="C72" i="6"/>
  <c r="D72" i="6"/>
  <c r="E72" i="6"/>
  <c r="C73" i="6"/>
  <c r="D73" i="6"/>
  <c r="E73" i="6"/>
  <c r="C74" i="6"/>
  <c r="D74" i="6"/>
  <c r="E74" i="6"/>
  <c r="C75" i="6"/>
  <c r="D75" i="6"/>
  <c r="E75" i="6"/>
  <c r="C76" i="6"/>
  <c r="D76" i="6"/>
  <c r="E76" i="6"/>
  <c r="C77" i="6"/>
  <c r="D77" i="6"/>
  <c r="E77" i="6"/>
  <c r="C78" i="6"/>
  <c r="D78" i="6"/>
  <c r="E78" i="6"/>
  <c r="C79" i="6"/>
  <c r="D79" i="6"/>
  <c r="E79" i="6"/>
  <c r="C80" i="6"/>
  <c r="D80" i="6"/>
  <c r="E80" i="6"/>
  <c r="C81" i="6"/>
  <c r="D81" i="6"/>
  <c r="E81" i="6"/>
  <c r="C82" i="6"/>
  <c r="D82" i="6"/>
  <c r="E82" i="6"/>
  <c r="C83" i="6"/>
  <c r="D83" i="6"/>
  <c r="E83" i="6"/>
  <c r="C84" i="6"/>
  <c r="D84" i="6"/>
  <c r="E84" i="6"/>
  <c r="C85" i="6"/>
  <c r="D85" i="6"/>
  <c r="E85" i="6"/>
  <c r="C86" i="6"/>
  <c r="D86" i="6"/>
  <c r="E86" i="6"/>
  <c r="C87" i="6"/>
  <c r="D87" i="6"/>
  <c r="E87" i="6"/>
  <c r="C88" i="6"/>
  <c r="D88" i="6"/>
  <c r="E88" i="6"/>
  <c r="C89" i="6"/>
  <c r="D89" i="6"/>
  <c r="E89" i="6"/>
  <c r="C90" i="6"/>
  <c r="D90" i="6"/>
  <c r="E90" i="6"/>
  <c r="C91" i="6"/>
  <c r="D91" i="6"/>
  <c r="E91" i="6"/>
  <c r="C92" i="6"/>
  <c r="D92" i="6"/>
  <c r="E92" i="6"/>
  <c r="C93" i="6"/>
  <c r="D93" i="6"/>
  <c r="E93" i="6"/>
  <c r="C94" i="6"/>
  <c r="D94" i="6"/>
  <c r="E94" i="6"/>
  <c r="C95" i="6"/>
  <c r="D95" i="6"/>
  <c r="E95" i="6"/>
  <c r="C96" i="6"/>
  <c r="D96" i="6"/>
  <c r="E96" i="6"/>
  <c r="C97" i="6"/>
  <c r="D97" i="6"/>
  <c r="E97" i="6"/>
  <c r="C98" i="6"/>
  <c r="D98" i="6"/>
  <c r="E98" i="6"/>
  <c r="C99" i="6"/>
  <c r="D99" i="6"/>
  <c r="E99" i="6"/>
  <c r="C100" i="6"/>
  <c r="D100" i="6"/>
  <c r="E100" i="6"/>
  <c r="C101" i="6"/>
  <c r="D101" i="6"/>
  <c r="E101" i="6"/>
  <c r="C102" i="6"/>
  <c r="D102" i="6"/>
  <c r="E102" i="6"/>
  <c r="C103" i="6"/>
  <c r="D103" i="6"/>
  <c r="E103" i="6"/>
  <c r="C104" i="6"/>
  <c r="D104" i="6"/>
  <c r="E104" i="6"/>
  <c r="C105" i="6"/>
  <c r="D105" i="6"/>
  <c r="E105" i="6"/>
  <c r="C106" i="6"/>
  <c r="D106" i="6"/>
  <c r="E106" i="6"/>
  <c r="C107" i="6"/>
  <c r="D107" i="6"/>
  <c r="E107" i="6"/>
  <c r="C108" i="6"/>
  <c r="D108" i="6"/>
  <c r="E108" i="6"/>
  <c r="C109" i="6"/>
  <c r="D109" i="6"/>
  <c r="E109" i="6"/>
  <c r="C110" i="6"/>
  <c r="D110" i="6"/>
  <c r="E110" i="6"/>
  <c r="C111" i="6"/>
  <c r="D111" i="6"/>
  <c r="E111" i="6"/>
  <c r="C112" i="6"/>
  <c r="D112" i="6"/>
  <c r="E112" i="6"/>
  <c r="C113" i="6"/>
  <c r="D113" i="6"/>
  <c r="E113" i="6"/>
  <c r="C114" i="6"/>
  <c r="D114" i="6"/>
  <c r="E114" i="6"/>
  <c r="C115" i="6"/>
  <c r="D115" i="6"/>
  <c r="E115" i="6"/>
  <c r="C116" i="6"/>
  <c r="D116" i="6"/>
  <c r="E116" i="6"/>
  <c r="C117" i="6"/>
  <c r="D117" i="6"/>
  <c r="E117" i="6"/>
  <c r="C118" i="6"/>
  <c r="D118" i="6"/>
  <c r="E118" i="6"/>
  <c r="C119" i="6"/>
  <c r="D119" i="6"/>
  <c r="E119" i="6"/>
  <c r="C120" i="6"/>
  <c r="D120" i="6"/>
  <c r="E120" i="6"/>
  <c r="C121" i="6"/>
  <c r="D121" i="6"/>
  <c r="E121" i="6"/>
  <c r="C122" i="6"/>
  <c r="D122" i="6"/>
  <c r="E122" i="6"/>
  <c r="C123" i="6"/>
  <c r="D123" i="6"/>
  <c r="E123" i="6"/>
  <c r="C124" i="6"/>
  <c r="D124" i="6"/>
  <c r="E124" i="6"/>
  <c r="C125" i="6"/>
  <c r="D125" i="6"/>
  <c r="E125" i="6"/>
  <c r="C126" i="6"/>
  <c r="D126" i="6"/>
  <c r="E126" i="6"/>
  <c r="C127" i="6"/>
  <c r="D127" i="6"/>
  <c r="E127" i="6"/>
  <c r="C128" i="6"/>
  <c r="D128" i="6"/>
  <c r="E128" i="6"/>
  <c r="C129" i="6"/>
  <c r="D129" i="6"/>
  <c r="E129" i="6"/>
  <c r="C130" i="6"/>
  <c r="D130" i="6"/>
  <c r="E130" i="6"/>
  <c r="C131" i="6"/>
  <c r="D131" i="6"/>
  <c r="E131" i="6"/>
  <c r="C132" i="6"/>
  <c r="D132" i="6"/>
  <c r="E132" i="6"/>
  <c r="C133" i="6"/>
  <c r="D133" i="6"/>
  <c r="E133" i="6"/>
  <c r="C134" i="6"/>
  <c r="D134" i="6"/>
  <c r="E134" i="6"/>
  <c r="C135" i="6"/>
  <c r="D135" i="6"/>
  <c r="E135" i="6"/>
  <c r="C136" i="6"/>
  <c r="D136" i="6"/>
  <c r="E136" i="6"/>
  <c r="C137" i="6"/>
  <c r="D137" i="6"/>
  <c r="E137" i="6"/>
  <c r="C138" i="6"/>
  <c r="D138" i="6"/>
  <c r="E138" i="6"/>
  <c r="C139" i="6"/>
  <c r="D139" i="6"/>
  <c r="E139" i="6"/>
  <c r="C140" i="6"/>
  <c r="D140" i="6"/>
  <c r="E140" i="6"/>
  <c r="C141" i="6"/>
  <c r="D141" i="6"/>
  <c r="E141" i="6"/>
  <c r="C142" i="6"/>
  <c r="D142" i="6"/>
  <c r="E142" i="6"/>
  <c r="C143" i="6"/>
  <c r="D143" i="6"/>
  <c r="E143" i="6"/>
  <c r="C144" i="6"/>
  <c r="D144" i="6"/>
  <c r="E144" i="6"/>
  <c r="C145" i="6"/>
  <c r="D145" i="6"/>
  <c r="E145" i="6"/>
  <c r="C146" i="6"/>
  <c r="D146" i="6"/>
  <c r="E146" i="6"/>
  <c r="C147" i="6"/>
  <c r="D147" i="6"/>
  <c r="E147" i="6"/>
  <c r="C148" i="6"/>
  <c r="D148" i="6"/>
  <c r="E148" i="6"/>
  <c r="C149" i="6"/>
  <c r="D149" i="6"/>
  <c r="E149" i="6"/>
  <c r="C150" i="6"/>
  <c r="D150" i="6"/>
  <c r="E150" i="6"/>
  <c r="C151" i="6"/>
  <c r="D151" i="6"/>
  <c r="E151" i="6"/>
  <c r="C152" i="6"/>
  <c r="D152" i="6"/>
  <c r="E152" i="6"/>
  <c r="C153" i="6"/>
  <c r="D153" i="6"/>
  <c r="E153" i="6"/>
  <c r="C154" i="6"/>
  <c r="D154" i="6"/>
  <c r="E154" i="6"/>
  <c r="C155" i="6"/>
  <c r="D155" i="6"/>
  <c r="E155" i="6"/>
  <c r="C156" i="6"/>
  <c r="D156" i="6"/>
  <c r="E156" i="6"/>
  <c r="C157" i="6"/>
  <c r="D157" i="6"/>
  <c r="E157" i="6"/>
  <c r="C158" i="6"/>
  <c r="D158" i="6"/>
  <c r="E158" i="6"/>
  <c r="C159" i="6"/>
  <c r="D159" i="6"/>
  <c r="E159" i="6"/>
  <c r="C160" i="6"/>
  <c r="D160" i="6"/>
  <c r="E160" i="6"/>
  <c r="C161" i="6"/>
  <c r="D161" i="6"/>
  <c r="E161" i="6"/>
  <c r="C162" i="6"/>
  <c r="D162" i="6"/>
  <c r="E162" i="6"/>
  <c r="C163" i="6"/>
  <c r="D163" i="6"/>
  <c r="E163" i="6"/>
  <c r="C164" i="6"/>
  <c r="D164" i="6"/>
  <c r="E164" i="6"/>
  <c r="C165" i="6"/>
  <c r="D165" i="6"/>
  <c r="E165" i="6"/>
  <c r="C166" i="6"/>
  <c r="D166" i="6"/>
  <c r="E166" i="6"/>
  <c r="C167" i="6"/>
  <c r="D167" i="6"/>
  <c r="E167" i="6"/>
  <c r="C168" i="6"/>
  <c r="D168" i="6"/>
  <c r="E168" i="6"/>
  <c r="C169" i="6"/>
  <c r="D169" i="6"/>
  <c r="E169" i="6"/>
  <c r="C170" i="6"/>
  <c r="D170" i="6"/>
  <c r="E170" i="6"/>
  <c r="C171" i="6"/>
  <c r="D171" i="6"/>
  <c r="E171" i="6"/>
  <c r="C172" i="6"/>
  <c r="D172" i="6"/>
  <c r="E172" i="6"/>
  <c r="C173" i="6"/>
  <c r="D173" i="6"/>
  <c r="E173" i="6"/>
  <c r="C174" i="6"/>
  <c r="D174" i="6"/>
  <c r="E174" i="6"/>
  <c r="C175" i="6"/>
  <c r="D175" i="6"/>
  <c r="E175" i="6"/>
  <c r="C176" i="6"/>
  <c r="D176" i="6"/>
  <c r="E176" i="6"/>
  <c r="C177" i="6"/>
  <c r="D177" i="6"/>
  <c r="E177" i="6"/>
  <c r="C178" i="6"/>
  <c r="D178" i="6"/>
  <c r="E178" i="6"/>
  <c r="C179" i="6"/>
  <c r="D179" i="6"/>
  <c r="E179" i="6"/>
  <c r="C180" i="6"/>
  <c r="D180" i="6"/>
  <c r="E180" i="6"/>
  <c r="C181" i="6"/>
  <c r="D181" i="6"/>
  <c r="E181" i="6"/>
  <c r="C182" i="6"/>
  <c r="D182" i="6"/>
  <c r="E182" i="6"/>
  <c r="C183" i="6"/>
  <c r="D183" i="6"/>
  <c r="E183" i="6"/>
  <c r="C184" i="6"/>
  <c r="D184" i="6"/>
  <c r="E184" i="6"/>
  <c r="C185" i="6"/>
  <c r="D185" i="6"/>
  <c r="E185" i="6"/>
  <c r="C186" i="6"/>
  <c r="D186" i="6"/>
  <c r="E186" i="6"/>
  <c r="C187" i="6"/>
  <c r="D187" i="6"/>
  <c r="E187" i="6"/>
  <c r="C188" i="6"/>
  <c r="D188" i="6"/>
  <c r="E188" i="6"/>
  <c r="C189" i="6"/>
  <c r="D189" i="6"/>
  <c r="E189" i="6"/>
  <c r="C190" i="6"/>
  <c r="D190" i="6"/>
  <c r="E190" i="6"/>
  <c r="C191" i="6"/>
  <c r="D191" i="6"/>
  <c r="E191" i="6"/>
  <c r="C192" i="6"/>
  <c r="D192" i="6"/>
  <c r="E192" i="6"/>
  <c r="C193" i="6"/>
  <c r="D193" i="6"/>
  <c r="E193" i="6"/>
  <c r="C194" i="6"/>
  <c r="D194" i="6"/>
  <c r="E194" i="6"/>
  <c r="C195" i="6"/>
  <c r="D195" i="6"/>
  <c r="E195" i="6"/>
  <c r="C196" i="6"/>
  <c r="D196" i="6"/>
  <c r="E196" i="6"/>
  <c r="C197" i="6"/>
  <c r="D197" i="6"/>
  <c r="E197" i="6"/>
  <c r="C198" i="6"/>
  <c r="D198" i="6"/>
  <c r="E198" i="6"/>
  <c r="C199" i="6"/>
  <c r="D199" i="6"/>
  <c r="E199" i="6"/>
  <c r="C200" i="6"/>
  <c r="D200" i="6"/>
  <c r="E200" i="6"/>
  <c r="D3" i="6"/>
  <c r="E3" i="6"/>
  <c r="C3" i="6"/>
  <c r="C4" i="8"/>
  <c r="D4" i="8"/>
  <c r="E4" i="8"/>
  <c r="C5" i="8"/>
  <c r="D5" i="8"/>
  <c r="E5" i="8"/>
  <c r="C6" i="8"/>
  <c r="D6" i="8"/>
  <c r="E6" i="8"/>
  <c r="C7" i="8"/>
  <c r="D7" i="8"/>
  <c r="E7" i="8"/>
  <c r="C8" i="8"/>
  <c r="D8" i="8"/>
  <c r="E8" i="8"/>
  <c r="C9" i="8"/>
  <c r="D9" i="8"/>
  <c r="E9" i="8"/>
  <c r="C10" i="8"/>
  <c r="D10" i="8"/>
  <c r="E10" i="8"/>
  <c r="C11" i="8"/>
  <c r="D11" i="8"/>
  <c r="E11" i="8"/>
  <c r="C12" i="8"/>
  <c r="D12" i="8"/>
  <c r="E12" i="8"/>
  <c r="C13" i="8"/>
  <c r="D13" i="8"/>
  <c r="E13" i="8"/>
  <c r="C14" i="8"/>
  <c r="D14" i="8"/>
  <c r="E14" i="8"/>
  <c r="C15" i="8"/>
  <c r="D15" i="8"/>
  <c r="E15" i="8"/>
  <c r="C16" i="8"/>
  <c r="D16" i="8"/>
  <c r="E16" i="8"/>
  <c r="C17" i="8"/>
  <c r="D17" i="8"/>
  <c r="E17" i="8"/>
  <c r="C18" i="8"/>
  <c r="D18" i="8"/>
  <c r="E18" i="8"/>
  <c r="C19" i="8"/>
  <c r="D19" i="8"/>
  <c r="E19" i="8"/>
  <c r="C20" i="8"/>
  <c r="D20" i="8"/>
  <c r="E20" i="8"/>
  <c r="C21" i="8"/>
  <c r="D21" i="8"/>
  <c r="E21" i="8"/>
  <c r="C22" i="8"/>
  <c r="D22" i="8"/>
  <c r="E22" i="8"/>
  <c r="C23" i="8"/>
  <c r="D23" i="8"/>
  <c r="E23" i="8"/>
  <c r="C24" i="8"/>
  <c r="D24" i="8"/>
  <c r="E24" i="8"/>
  <c r="C25" i="8"/>
  <c r="D25" i="8"/>
  <c r="E25" i="8"/>
  <c r="C26" i="8"/>
  <c r="D26" i="8"/>
  <c r="E26" i="8"/>
  <c r="C27" i="8"/>
  <c r="D27" i="8"/>
  <c r="E27" i="8"/>
  <c r="C28" i="8"/>
  <c r="D28" i="8"/>
  <c r="E28" i="8"/>
  <c r="C29" i="8"/>
  <c r="D29" i="8"/>
  <c r="E29" i="8"/>
  <c r="C30" i="8"/>
  <c r="D30" i="8"/>
  <c r="E30" i="8"/>
  <c r="C31" i="8"/>
  <c r="D31" i="8"/>
  <c r="E31" i="8"/>
  <c r="C32" i="8"/>
  <c r="D32" i="8"/>
  <c r="E32" i="8"/>
  <c r="C33" i="8"/>
  <c r="D33" i="8"/>
  <c r="E33" i="8"/>
  <c r="C34" i="8"/>
  <c r="D34" i="8"/>
  <c r="E34" i="8"/>
  <c r="C35" i="8"/>
  <c r="D35" i="8"/>
  <c r="E35" i="8"/>
  <c r="C36" i="8"/>
  <c r="D36" i="8"/>
  <c r="E36" i="8"/>
  <c r="C37" i="8"/>
  <c r="D37" i="8"/>
  <c r="E37" i="8"/>
  <c r="C38" i="8"/>
  <c r="D38" i="8"/>
  <c r="E38" i="8"/>
  <c r="C39" i="8"/>
  <c r="D39" i="8"/>
  <c r="E39" i="8"/>
  <c r="C40" i="8"/>
  <c r="D40" i="8"/>
  <c r="E40" i="8"/>
  <c r="C41" i="8"/>
  <c r="D41" i="8"/>
  <c r="E41" i="8"/>
  <c r="C42" i="8"/>
  <c r="D42" i="8"/>
  <c r="E42" i="8"/>
  <c r="C43" i="8"/>
  <c r="D43" i="8"/>
  <c r="E43" i="8"/>
  <c r="C44" i="8"/>
  <c r="D44" i="8"/>
  <c r="E44" i="8"/>
  <c r="C45" i="8"/>
  <c r="D45" i="8"/>
  <c r="E45" i="8"/>
  <c r="C46" i="8"/>
  <c r="D46" i="8"/>
  <c r="E46" i="8"/>
  <c r="C47" i="8"/>
  <c r="D47" i="8"/>
  <c r="E47" i="8"/>
  <c r="C48" i="8"/>
  <c r="D48" i="8"/>
  <c r="E48" i="8"/>
  <c r="C49" i="8"/>
  <c r="D49" i="8"/>
  <c r="E49" i="8"/>
  <c r="C50" i="8"/>
  <c r="D50" i="8"/>
  <c r="E50" i="8"/>
  <c r="C51" i="8"/>
  <c r="D51" i="8"/>
  <c r="E51" i="8"/>
  <c r="C52" i="8"/>
  <c r="D52" i="8"/>
  <c r="E52" i="8"/>
  <c r="C53" i="8"/>
  <c r="D53" i="8"/>
  <c r="E53" i="8"/>
  <c r="C54" i="8"/>
  <c r="D54" i="8"/>
  <c r="E54" i="8"/>
  <c r="C55" i="8"/>
  <c r="D55" i="8"/>
  <c r="E55" i="8"/>
  <c r="C56" i="8"/>
  <c r="D56" i="8"/>
  <c r="E56" i="8"/>
  <c r="C57" i="8"/>
  <c r="D57" i="8"/>
  <c r="E57" i="8"/>
  <c r="C58" i="8"/>
  <c r="D58" i="8"/>
  <c r="E58" i="8"/>
  <c r="C59" i="8"/>
  <c r="D59" i="8"/>
  <c r="E59" i="8"/>
  <c r="C60" i="8"/>
  <c r="D60" i="8"/>
  <c r="E60" i="8"/>
  <c r="C61" i="8"/>
  <c r="D61" i="8"/>
  <c r="E61" i="8"/>
  <c r="C62" i="8"/>
  <c r="D62" i="8"/>
  <c r="E62" i="8"/>
  <c r="C63" i="8"/>
  <c r="D63" i="8"/>
  <c r="E63" i="8"/>
  <c r="C64" i="8"/>
  <c r="D64" i="8"/>
  <c r="E64" i="8"/>
  <c r="C65" i="8"/>
  <c r="D65" i="8"/>
  <c r="E65" i="8"/>
  <c r="C66" i="8"/>
  <c r="D66" i="8"/>
  <c r="E66" i="8"/>
  <c r="C67" i="8"/>
  <c r="D67" i="8"/>
  <c r="E67" i="8"/>
  <c r="C68" i="8"/>
  <c r="D68" i="8"/>
  <c r="E68" i="8"/>
  <c r="C69" i="8"/>
  <c r="D69" i="8"/>
  <c r="E69" i="8"/>
  <c r="C70" i="8"/>
  <c r="D70" i="8"/>
  <c r="E70" i="8"/>
  <c r="C71" i="8"/>
  <c r="D71" i="8"/>
  <c r="E71" i="8"/>
  <c r="C72" i="8"/>
  <c r="D72" i="8"/>
  <c r="E72" i="8"/>
  <c r="C73" i="8"/>
  <c r="D73" i="8"/>
  <c r="E73" i="8"/>
  <c r="C74" i="8"/>
  <c r="D74" i="8"/>
  <c r="E74" i="8"/>
  <c r="C75" i="8"/>
  <c r="D75" i="8"/>
  <c r="E75" i="8"/>
  <c r="C76" i="8"/>
  <c r="D76" i="8"/>
  <c r="E76" i="8"/>
  <c r="C77" i="8"/>
  <c r="D77" i="8"/>
  <c r="E77" i="8"/>
  <c r="C78" i="8"/>
  <c r="D78" i="8"/>
  <c r="E78" i="8"/>
  <c r="C79" i="8"/>
  <c r="D79" i="8"/>
  <c r="E79" i="8"/>
  <c r="C80" i="8"/>
  <c r="D80" i="8"/>
  <c r="E80" i="8"/>
  <c r="C81" i="8"/>
  <c r="D81" i="8"/>
  <c r="E81" i="8"/>
  <c r="C82" i="8"/>
  <c r="D82" i="8"/>
  <c r="E82" i="8"/>
  <c r="C83" i="8"/>
  <c r="D83" i="8"/>
  <c r="E83" i="8"/>
  <c r="C84" i="8"/>
  <c r="D84" i="8"/>
  <c r="E84" i="8"/>
  <c r="C85" i="8"/>
  <c r="D85" i="8"/>
  <c r="E85" i="8"/>
  <c r="C86" i="8"/>
  <c r="D86" i="8"/>
  <c r="E86" i="8"/>
  <c r="C87" i="8"/>
  <c r="D87" i="8"/>
  <c r="E87" i="8"/>
  <c r="C88" i="8"/>
  <c r="D88" i="8"/>
  <c r="E88" i="8"/>
  <c r="C89" i="8"/>
  <c r="D89" i="8"/>
  <c r="E89" i="8"/>
  <c r="C90" i="8"/>
  <c r="D90" i="8"/>
  <c r="E90" i="8"/>
  <c r="C91" i="8"/>
  <c r="D91" i="8"/>
  <c r="E91" i="8"/>
  <c r="C92" i="8"/>
  <c r="D92" i="8"/>
  <c r="E92" i="8"/>
  <c r="C93" i="8"/>
  <c r="D93" i="8"/>
  <c r="E93" i="8"/>
  <c r="C94" i="8"/>
  <c r="D94" i="8"/>
  <c r="E94" i="8"/>
  <c r="C95" i="8"/>
  <c r="D95" i="8"/>
  <c r="E95" i="8"/>
  <c r="C96" i="8"/>
  <c r="D96" i="8"/>
  <c r="E96" i="8"/>
  <c r="C97" i="8"/>
  <c r="D97" i="8"/>
  <c r="E97" i="8"/>
  <c r="C98" i="8"/>
  <c r="D98" i="8"/>
  <c r="E98" i="8"/>
  <c r="C99" i="8"/>
  <c r="D99" i="8"/>
  <c r="E99" i="8"/>
  <c r="C100" i="8"/>
  <c r="D100" i="8"/>
  <c r="E100" i="8"/>
  <c r="C101" i="8"/>
  <c r="D101" i="8"/>
  <c r="E101" i="8"/>
  <c r="C102" i="8"/>
  <c r="D102" i="8"/>
  <c r="E102" i="8"/>
  <c r="C103" i="8"/>
  <c r="D103" i="8"/>
  <c r="E103" i="8"/>
  <c r="C104" i="8"/>
  <c r="D104" i="8"/>
  <c r="E104" i="8"/>
  <c r="C105" i="8"/>
  <c r="D105" i="8"/>
  <c r="E105" i="8"/>
  <c r="C106" i="8"/>
  <c r="D106" i="8"/>
  <c r="E106" i="8"/>
  <c r="C107" i="8"/>
  <c r="D107" i="8"/>
  <c r="E107" i="8"/>
  <c r="C108" i="8"/>
  <c r="D108" i="8"/>
  <c r="E108" i="8"/>
  <c r="C109" i="8"/>
  <c r="D109" i="8"/>
  <c r="E109" i="8"/>
  <c r="C110" i="8"/>
  <c r="D110" i="8"/>
  <c r="E110" i="8"/>
  <c r="C111" i="8"/>
  <c r="D111" i="8"/>
  <c r="E111" i="8"/>
  <c r="C112" i="8"/>
  <c r="D112" i="8"/>
  <c r="E112" i="8"/>
  <c r="C113" i="8"/>
  <c r="D113" i="8"/>
  <c r="E113" i="8"/>
  <c r="C114" i="8"/>
  <c r="D114" i="8"/>
  <c r="E114" i="8"/>
  <c r="C115" i="8"/>
  <c r="D115" i="8"/>
  <c r="E115" i="8"/>
  <c r="C116" i="8"/>
  <c r="D116" i="8"/>
  <c r="E116" i="8"/>
  <c r="C117" i="8"/>
  <c r="D117" i="8"/>
  <c r="E117" i="8"/>
  <c r="C118" i="8"/>
  <c r="D118" i="8"/>
  <c r="E118" i="8"/>
  <c r="C119" i="8"/>
  <c r="D119" i="8"/>
  <c r="E119" i="8"/>
  <c r="C120" i="8"/>
  <c r="D120" i="8"/>
  <c r="E120" i="8"/>
  <c r="C121" i="8"/>
  <c r="D121" i="8"/>
  <c r="E121" i="8"/>
  <c r="C122" i="8"/>
  <c r="D122" i="8"/>
  <c r="E122" i="8"/>
  <c r="C123" i="8"/>
  <c r="D123" i="8"/>
  <c r="E123" i="8"/>
  <c r="C124" i="8"/>
  <c r="D124" i="8"/>
  <c r="E124" i="8"/>
  <c r="C125" i="8"/>
  <c r="D125" i="8"/>
  <c r="E125" i="8"/>
  <c r="C126" i="8"/>
  <c r="D126" i="8"/>
  <c r="E126" i="8"/>
  <c r="C127" i="8"/>
  <c r="D127" i="8"/>
  <c r="E127" i="8"/>
  <c r="C128" i="8"/>
  <c r="D128" i="8"/>
  <c r="E128" i="8"/>
  <c r="C129" i="8"/>
  <c r="D129" i="8"/>
  <c r="E129" i="8"/>
  <c r="C130" i="8"/>
  <c r="D130" i="8"/>
  <c r="E130" i="8"/>
  <c r="C131" i="8"/>
  <c r="D131" i="8"/>
  <c r="E131" i="8"/>
  <c r="C132" i="8"/>
  <c r="D132" i="8"/>
  <c r="E132" i="8"/>
  <c r="C133" i="8"/>
  <c r="D133" i="8"/>
  <c r="E133" i="8"/>
  <c r="C134" i="8"/>
  <c r="D134" i="8"/>
  <c r="E134" i="8"/>
  <c r="C135" i="8"/>
  <c r="D135" i="8"/>
  <c r="E135" i="8"/>
  <c r="C136" i="8"/>
  <c r="D136" i="8"/>
  <c r="E136" i="8"/>
  <c r="C137" i="8"/>
  <c r="D137" i="8"/>
  <c r="E137" i="8"/>
  <c r="C138" i="8"/>
  <c r="D138" i="8"/>
  <c r="E138" i="8"/>
  <c r="C139" i="8"/>
  <c r="D139" i="8"/>
  <c r="E139" i="8"/>
  <c r="C140" i="8"/>
  <c r="D140" i="8"/>
  <c r="E140" i="8"/>
  <c r="C141" i="8"/>
  <c r="D141" i="8"/>
  <c r="E141" i="8"/>
  <c r="C142" i="8"/>
  <c r="D142" i="8"/>
  <c r="E142" i="8"/>
  <c r="C143" i="8"/>
  <c r="D143" i="8"/>
  <c r="E143" i="8"/>
  <c r="C144" i="8"/>
  <c r="D144" i="8"/>
  <c r="E144" i="8"/>
  <c r="C145" i="8"/>
  <c r="D145" i="8"/>
  <c r="E145" i="8"/>
  <c r="C146" i="8"/>
  <c r="D146" i="8"/>
  <c r="E146" i="8"/>
  <c r="C147" i="8"/>
  <c r="D147" i="8"/>
  <c r="E147" i="8"/>
  <c r="C148" i="8"/>
  <c r="D148" i="8"/>
  <c r="E148" i="8"/>
  <c r="C149" i="8"/>
  <c r="D149" i="8"/>
  <c r="E149" i="8"/>
  <c r="C150" i="8"/>
  <c r="D150" i="8"/>
  <c r="E150" i="8"/>
  <c r="C151" i="8"/>
  <c r="D151" i="8"/>
  <c r="E151" i="8"/>
  <c r="C152" i="8"/>
  <c r="D152" i="8"/>
  <c r="E152" i="8"/>
  <c r="C153" i="8"/>
  <c r="D153" i="8"/>
  <c r="E153" i="8"/>
  <c r="C154" i="8"/>
  <c r="D154" i="8"/>
  <c r="E154" i="8"/>
  <c r="C155" i="8"/>
  <c r="D155" i="8"/>
  <c r="E155" i="8"/>
  <c r="C156" i="8"/>
  <c r="D156" i="8"/>
  <c r="E156" i="8"/>
  <c r="C157" i="8"/>
  <c r="D157" i="8"/>
  <c r="E157" i="8"/>
  <c r="C158" i="8"/>
  <c r="D158" i="8"/>
  <c r="E158" i="8"/>
  <c r="C159" i="8"/>
  <c r="D159" i="8"/>
  <c r="E159" i="8"/>
  <c r="C160" i="8"/>
  <c r="D160" i="8"/>
  <c r="E160" i="8"/>
  <c r="C161" i="8"/>
  <c r="D161" i="8"/>
  <c r="E161" i="8"/>
  <c r="C162" i="8"/>
  <c r="D162" i="8"/>
  <c r="E162" i="8"/>
  <c r="C163" i="8"/>
  <c r="D163" i="8"/>
  <c r="E163" i="8"/>
  <c r="C164" i="8"/>
  <c r="D164" i="8"/>
  <c r="E164" i="8"/>
  <c r="C165" i="8"/>
  <c r="D165" i="8"/>
  <c r="E165" i="8"/>
  <c r="C166" i="8"/>
  <c r="D166" i="8"/>
  <c r="E166" i="8"/>
  <c r="C167" i="8"/>
  <c r="D167" i="8"/>
  <c r="E167" i="8"/>
  <c r="C168" i="8"/>
  <c r="D168" i="8"/>
  <c r="E168" i="8"/>
  <c r="C169" i="8"/>
  <c r="D169" i="8"/>
  <c r="E169" i="8"/>
  <c r="C170" i="8"/>
  <c r="D170" i="8"/>
  <c r="E170" i="8"/>
  <c r="C171" i="8"/>
  <c r="D171" i="8"/>
  <c r="E171" i="8"/>
  <c r="C172" i="8"/>
  <c r="D172" i="8"/>
  <c r="E172" i="8"/>
  <c r="C173" i="8"/>
  <c r="D173" i="8"/>
  <c r="E173" i="8"/>
  <c r="C174" i="8"/>
  <c r="D174" i="8"/>
  <c r="E174" i="8"/>
  <c r="C175" i="8"/>
  <c r="D175" i="8"/>
  <c r="E175" i="8"/>
  <c r="C176" i="8"/>
  <c r="D176" i="8"/>
  <c r="E176" i="8"/>
  <c r="C177" i="8"/>
  <c r="D177" i="8"/>
  <c r="E177" i="8"/>
  <c r="C178" i="8"/>
  <c r="D178" i="8"/>
  <c r="E178" i="8"/>
  <c r="C179" i="8"/>
  <c r="D179" i="8"/>
  <c r="E179" i="8"/>
  <c r="C180" i="8"/>
  <c r="D180" i="8"/>
  <c r="E180" i="8"/>
  <c r="C181" i="8"/>
  <c r="D181" i="8"/>
  <c r="E181" i="8"/>
  <c r="C182" i="8"/>
  <c r="D182" i="8"/>
  <c r="E182" i="8"/>
  <c r="C183" i="8"/>
  <c r="D183" i="8"/>
  <c r="E183" i="8"/>
  <c r="C184" i="8"/>
  <c r="D184" i="8"/>
  <c r="E184" i="8"/>
  <c r="C185" i="8"/>
  <c r="D185" i="8"/>
  <c r="E185" i="8"/>
  <c r="C186" i="8"/>
  <c r="D186" i="8"/>
  <c r="E186" i="8"/>
  <c r="C187" i="8"/>
  <c r="D187" i="8"/>
  <c r="E187" i="8"/>
  <c r="C188" i="8"/>
  <c r="D188" i="8"/>
  <c r="E188" i="8"/>
  <c r="C189" i="8"/>
  <c r="D189" i="8"/>
  <c r="E189" i="8"/>
  <c r="C190" i="8"/>
  <c r="D190" i="8"/>
  <c r="E190" i="8"/>
  <c r="C191" i="8"/>
  <c r="D191" i="8"/>
  <c r="E191" i="8"/>
  <c r="C192" i="8"/>
  <c r="D192" i="8"/>
  <c r="E192" i="8"/>
  <c r="C193" i="8"/>
  <c r="D193" i="8"/>
  <c r="E193" i="8"/>
  <c r="C194" i="8"/>
  <c r="D194" i="8"/>
  <c r="E194" i="8"/>
  <c r="C195" i="8"/>
  <c r="D195" i="8"/>
  <c r="E195" i="8"/>
  <c r="C196" i="8"/>
  <c r="D196" i="8"/>
  <c r="E196" i="8"/>
  <c r="C197" i="8"/>
  <c r="D197" i="8"/>
  <c r="E197" i="8"/>
  <c r="C198" i="8"/>
  <c r="D198" i="8"/>
  <c r="E198" i="8"/>
  <c r="C199" i="8"/>
  <c r="D199" i="8"/>
  <c r="E199" i="8"/>
  <c r="C200" i="8"/>
  <c r="D200" i="8"/>
  <c r="E200" i="8"/>
  <c r="D3" i="8"/>
  <c r="E3" i="8"/>
  <c r="C3" i="8"/>
  <c r="C33" i="4"/>
  <c r="D33" i="4"/>
  <c r="E33" i="4"/>
  <c r="C34" i="4"/>
  <c r="D34" i="4"/>
  <c r="E34" i="4"/>
  <c r="C35" i="4"/>
  <c r="D35" i="4"/>
  <c r="E35" i="4"/>
  <c r="C36" i="4"/>
  <c r="D36" i="4"/>
  <c r="E36" i="4"/>
  <c r="C37" i="4"/>
  <c r="D37" i="4"/>
  <c r="E37" i="4"/>
  <c r="C38" i="4"/>
  <c r="D38" i="4"/>
  <c r="E38" i="4"/>
  <c r="C39" i="4"/>
  <c r="D39" i="4"/>
  <c r="E39" i="4"/>
  <c r="C40" i="4"/>
  <c r="D40" i="4"/>
  <c r="E40" i="4"/>
  <c r="C41" i="4"/>
  <c r="D41" i="4"/>
  <c r="E41" i="4"/>
  <c r="C42" i="4"/>
  <c r="D42" i="4"/>
  <c r="E42" i="4"/>
  <c r="C43" i="4"/>
  <c r="D43" i="4"/>
  <c r="E43" i="4"/>
  <c r="C44" i="4"/>
  <c r="D44" i="4"/>
  <c r="E44" i="4"/>
  <c r="C45" i="4"/>
  <c r="D45" i="4"/>
  <c r="E45" i="4"/>
  <c r="C46" i="4"/>
  <c r="D46" i="4"/>
  <c r="E46" i="4"/>
  <c r="C47" i="4"/>
  <c r="D47" i="4"/>
  <c r="E47" i="4"/>
  <c r="C48" i="4"/>
  <c r="D48" i="4"/>
  <c r="E48" i="4"/>
  <c r="C49" i="4"/>
  <c r="D49" i="4"/>
  <c r="E49" i="4"/>
  <c r="C50" i="4"/>
  <c r="D50" i="4"/>
  <c r="E50" i="4"/>
  <c r="C51" i="4"/>
  <c r="D51" i="4"/>
  <c r="E51" i="4"/>
  <c r="C52" i="4"/>
  <c r="D52" i="4"/>
  <c r="E52" i="4"/>
  <c r="C53" i="4"/>
  <c r="D53" i="4"/>
  <c r="E53" i="4"/>
  <c r="C54" i="4"/>
  <c r="D54" i="4"/>
  <c r="E54" i="4"/>
  <c r="C55" i="4"/>
  <c r="D55" i="4"/>
  <c r="E55" i="4"/>
  <c r="C56" i="4"/>
  <c r="D56" i="4"/>
  <c r="E56" i="4"/>
  <c r="C57" i="4"/>
  <c r="D57" i="4"/>
  <c r="E57" i="4"/>
  <c r="C58" i="4"/>
  <c r="D58" i="4"/>
  <c r="E58" i="4"/>
  <c r="C59" i="4"/>
  <c r="D59" i="4"/>
  <c r="E59" i="4"/>
  <c r="C60" i="4"/>
  <c r="D60" i="4"/>
  <c r="E60" i="4"/>
  <c r="C61" i="4"/>
  <c r="D61" i="4"/>
  <c r="E61" i="4"/>
  <c r="C62" i="4"/>
  <c r="D62" i="4"/>
  <c r="E62" i="4"/>
  <c r="C63" i="4"/>
  <c r="D63" i="4"/>
  <c r="E63" i="4"/>
  <c r="C64" i="4"/>
  <c r="D64" i="4"/>
  <c r="E64" i="4"/>
  <c r="C65" i="4"/>
  <c r="D65" i="4"/>
  <c r="E65" i="4"/>
  <c r="C66" i="4"/>
  <c r="D66" i="4"/>
  <c r="E66" i="4"/>
  <c r="C67" i="4"/>
  <c r="D67" i="4"/>
  <c r="E67" i="4"/>
  <c r="C68" i="4"/>
  <c r="D68" i="4"/>
  <c r="E68" i="4"/>
  <c r="C69" i="4"/>
  <c r="D69" i="4"/>
  <c r="E69" i="4"/>
  <c r="C70" i="4"/>
  <c r="D70" i="4"/>
  <c r="E70" i="4"/>
  <c r="C71" i="4"/>
  <c r="D71" i="4"/>
  <c r="E71" i="4"/>
  <c r="C72" i="4"/>
  <c r="D72" i="4"/>
  <c r="E72" i="4"/>
  <c r="C73" i="4"/>
  <c r="D73" i="4"/>
  <c r="E73" i="4"/>
  <c r="C74" i="4"/>
  <c r="D74" i="4"/>
  <c r="E74" i="4"/>
  <c r="C75" i="4"/>
  <c r="D75" i="4"/>
  <c r="E75" i="4"/>
  <c r="C76" i="4"/>
  <c r="D76" i="4"/>
  <c r="E76" i="4"/>
  <c r="C77" i="4"/>
  <c r="D77" i="4"/>
  <c r="E77" i="4"/>
  <c r="C78" i="4"/>
  <c r="D78" i="4"/>
  <c r="E78" i="4"/>
  <c r="C79" i="4"/>
  <c r="D79" i="4"/>
  <c r="E79" i="4"/>
  <c r="C80" i="4"/>
  <c r="D80" i="4"/>
  <c r="E80" i="4"/>
  <c r="C81" i="4"/>
  <c r="D81" i="4"/>
  <c r="E81" i="4"/>
  <c r="C82" i="4"/>
  <c r="D82" i="4"/>
  <c r="E82" i="4"/>
  <c r="C83" i="4"/>
  <c r="D83" i="4"/>
  <c r="E83" i="4"/>
  <c r="C84" i="4"/>
  <c r="D84" i="4"/>
  <c r="E84" i="4"/>
  <c r="C85" i="4"/>
  <c r="D85" i="4"/>
  <c r="E85" i="4"/>
  <c r="C86" i="4"/>
  <c r="D86" i="4"/>
  <c r="E86" i="4"/>
  <c r="C87" i="4"/>
  <c r="D87" i="4"/>
  <c r="E87" i="4"/>
  <c r="C88" i="4"/>
  <c r="D88" i="4"/>
  <c r="E88" i="4"/>
  <c r="C89" i="4"/>
  <c r="D89" i="4"/>
  <c r="E89" i="4"/>
  <c r="C90" i="4"/>
  <c r="D90" i="4"/>
  <c r="E90" i="4"/>
  <c r="C91" i="4"/>
  <c r="D91" i="4"/>
  <c r="E91" i="4"/>
  <c r="C92" i="4"/>
  <c r="D92" i="4"/>
  <c r="E92" i="4"/>
  <c r="C93" i="4"/>
  <c r="D93" i="4"/>
  <c r="E93" i="4"/>
  <c r="C94" i="4"/>
  <c r="D94" i="4"/>
  <c r="E94" i="4"/>
  <c r="C95" i="4"/>
  <c r="D95" i="4"/>
  <c r="E95" i="4"/>
  <c r="C96" i="4"/>
  <c r="D96" i="4"/>
  <c r="E96" i="4"/>
  <c r="C97" i="4"/>
  <c r="D97" i="4"/>
  <c r="E97" i="4"/>
  <c r="C98" i="4"/>
  <c r="D98" i="4"/>
  <c r="E98" i="4"/>
  <c r="C99" i="4"/>
  <c r="D99" i="4"/>
  <c r="E99" i="4"/>
  <c r="C100" i="4"/>
  <c r="D100" i="4"/>
  <c r="E100" i="4"/>
  <c r="C101" i="4"/>
  <c r="D101" i="4"/>
  <c r="E101" i="4"/>
  <c r="C102" i="4"/>
  <c r="D102" i="4"/>
  <c r="E102" i="4"/>
  <c r="C103" i="4"/>
  <c r="D103" i="4"/>
  <c r="E103" i="4"/>
  <c r="C104" i="4"/>
  <c r="D104" i="4"/>
  <c r="E104" i="4"/>
  <c r="C105" i="4"/>
  <c r="D105" i="4"/>
  <c r="E105" i="4"/>
  <c r="C106" i="4"/>
  <c r="D106" i="4"/>
  <c r="E106" i="4"/>
  <c r="C107" i="4"/>
  <c r="D107" i="4"/>
  <c r="E107" i="4"/>
  <c r="C108" i="4"/>
  <c r="D108" i="4"/>
  <c r="E108" i="4"/>
  <c r="C109" i="4"/>
  <c r="D109" i="4"/>
  <c r="E109" i="4"/>
  <c r="C110" i="4"/>
  <c r="D110" i="4"/>
  <c r="E110" i="4"/>
  <c r="C111" i="4"/>
  <c r="D111" i="4"/>
  <c r="E111" i="4"/>
  <c r="C112" i="4"/>
  <c r="D112" i="4"/>
  <c r="E112" i="4"/>
  <c r="C113" i="4"/>
  <c r="D113" i="4"/>
  <c r="E113" i="4"/>
  <c r="C114" i="4"/>
  <c r="D114" i="4"/>
  <c r="E114" i="4"/>
  <c r="C115" i="4"/>
  <c r="D115" i="4"/>
  <c r="E115" i="4"/>
  <c r="C116" i="4"/>
  <c r="D116" i="4"/>
  <c r="E116" i="4"/>
  <c r="C117" i="4"/>
  <c r="D117" i="4"/>
  <c r="E117" i="4"/>
  <c r="C118" i="4"/>
  <c r="D118" i="4"/>
  <c r="E118" i="4"/>
  <c r="C119" i="4"/>
  <c r="D119" i="4"/>
  <c r="E119" i="4"/>
  <c r="C120" i="4"/>
  <c r="D120" i="4"/>
  <c r="E120" i="4"/>
  <c r="C121" i="4"/>
  <c r="D121" i="4"/>
  <c r="E121" i="4"/>
  <c r="C122" i="4"/>
  <c r="D122" i="4"/>
  <c r="E122" i="4"/>
  <c r="C123" i="4"/>
  <c r="D123" i="4"/>
  <c r="E123" i="4"/>
  <c r="C124" i="4"/>
  <c r="D124" i="4"/>
  <c r="E124" i="4"/>
  <c r="C125" i="4"/>
  <c r="D125" i="4"/>
  <c r="E125" i="4"/>
  <c r="C126" i="4"/>
  <c r="D126" i="4"/>
  <c r="E126" i="4"/>
  <c r="C127" i="4"/>
  <c r="D127" i="4"/>
  <c r="E127" i="4"/>
  <c r="C128" i="4"/>
  <c r="D128" i="4"/>
  <c r="E128" i="4"/>
  <c r="C129" i="4"/>
  <c r="D129" i="4"/>
  <c r="E129" i="4"/>
  <c r="C130" i="4"/>
  <c r="D130" i="4"/>
  <c r="E130" i="4"/>
  <c r="C131" i="4"/>
  <c r="D131" i="4"/>
  <c r="E131" i="4"/>
  <c r="C132" i="4"/>
  <c r="D132" i="4"/>
  <c r="E132" i="4"/>
  <c r="C133" i="4"/>
  <c r="D133" i="4"/>
  <c r="E133" i="4"/>
  <c r="C134" i="4"/>
  <c r="D134" i="4"/>
  <c r="E134" i="4"/>
  <c r="C135" i="4"/>
  <c r="D135" i="4"/>
  <c r="E135" i="4"/>
  <c r="C136" i="4"/>
  <c r="D136" i="4"/>
  <c r="E136" i="4"/>
  <c r="C137" i="4"/>
  <c r="D137" i="4"/>
  <c r="E137" i="4"/>
  <c r="C138" i="4"/>
  <c r="D138" i="4"/>
  <c r="E138" i="4"/>
  <c r="C139" i="4"/>
  <c r="D139" i="4"/>
  <c r="E139" i="4"/>
  <c r="C140" i="4"/>
  <c r="D140" i="4"/>
  <c r="E140" i="4"/>
  <c r="C141" i="4"/>
  <c r="D141" i="4"/>
  <c r="E141" i="4"/>
  <c r="C142" i="4"/>
  <c r="D142" i="4"/>
  <c r="E142" i="4"/>
  <c r="C143" i="4"/>
  <c r="D143" i="4"/>
  <c r="E143" i="4"/>
  <c r="C144" i="4"/>
  <c r="D144" i="4"/>
  <c r="E144" i="4"/>
  <c r="C145" i="4"/>
  <c r="D145" i="4"/>
  <c r="E145" i="4"/>
  <c r="C146" i="4"/>
  <c r="D146" i="4"/>
  <c r="E146" i="4"/>
  <c r="C147" i="4"/>
  <c r="D147" i="4"/>
  <c r="E147" i="4"/>
  <c r="C148" i="4"/>
  <c r="D148" i="4"/>
  <c r="E148" i="4"/>
  <c r="C149" i="4"/>
  <c r="D149" i="4"/>
  <c r="E149" i="4"/>
  <c r="C150" i="4"/>
  <c r="D150" i="4"/>
  <c r="E150" i="4"/>
  <c r="C151" i="4"/>
  <c r="D151" i="4"/>
  <c r="E151" i="4"/>
  <c r="C152" i="4"/>
  <c r="D152" i="4"/>
  <c r="E152" i="4"/>
  <c r="C153" i="4"/>
  <c r="D153" i="4"/>
  <c r="E153" i="4"/>
  <c r="C154" i="4"/>
  <c r="D154" i="4"/>
  <c r="E154" i="4"/>
  <c r="C155" i="4"/>
  <c r="D155" i="4"/>
  <c r="E155" i="4"/>
  <c r="C156" i="4"/>
  <c r="D156" i="4"/>
  <c r="E156" i="4"/>
  <c r="C157" i="4"/>
  <c r="D157" i="4"/>
  <c r="E157" i="4"/>
  <c r="C158" i="4"/>
  <c r="D158" i="4"/>
  <c r="E158" i="4"/>
  <c r="C159" i="4"/>
  <c r="D159" i="4"/>
  <c r="E159" i="4"/>
  <c r="C160" i="4"/>
  <c r="D160" i="4"/>
  <c r="E160" i="4"/>
  <c r="C161" i="4"/>
  <c r="D161" i="4"/>
  <c r="E161" i="4"/>
  <c r="C162" i="4"/>
  <c r="D162" i="4"/>
  <c r="E162" i="4"/>
  <c r="C163" i="4"/>
  <c r="D163" i="4"/>
  <c r="E163" i="4"/>
  <c r="C164" i="4"/>
  <c r="D164" i="4"/>
  <c r="E164" i="4"/>
  <c r="C165" i="4"/>
  <c r="D165" i="4"/>
  <c r="E165" i="4"/>
  <c r="C166" i="4"/>
  <c r="D166" i="4"/>
  <c r="E166" i="4"/>
  <c r="C167" i="4"/>
  <c r="D167" i="4"/>
  <c r="E167" i="4"/>
  <c r="C168" i="4"/>
  <c r="D168" i="4"/>
  <c r="E168" i="4"/>
  <c r="C169" i="4"/>
  <c r="D169" i="4"/>
  <c r="E169" i="4"/>
  <c r="C170" i="4"/>
  <c r="D170" i="4"/>
  <c r="E170" i="4"/>
  <c r="C171" i="4"/>
  <c r="D171" i="4"/>
  <c r="E171" i="4"/>
  <c r="C172" i="4"/>
  <c r="D172" i="4"/>
  <c r="E172" i="4"/>
  <c r="C173" i="4"/>
  <c r="D173" i="4"/>
  <c r="E173" i="4"/>
  <c r="C174" i="4"/>
  <c r="D174" i="4"/>
  <c r="E174" i="4"/>
  <c r="C175" i="4"/>
  <c r="D175" i="4"/>
  <c r="E175" i="4"/>
  <c r="C176" i="4"/>
  <c r="D176" i="4"/>
  <c r="E176" i="4"/>
  <c r="C177" i="4"/>
  <c r="D177" i="4"/>
  <c r="E177" i="4"/>
  <c r="C178" i="4"/>
  <c r="D178" i="4"/>
  <c r="E178" i="4"/>
  <c r="C179" i="4"/>
  <c r="D179" i="4"/>
  <c r="E179" i="4"/>
  <c r="C180" i="4"/>
  <c r="D180" i="4"/>
  <c r="E180" i="4"/>
  <c r="C181" i="4"/>
  <c r="D181" i="4"/>
  <c r="E181" i="4"/>
  <c r="C182" i="4"/>
  <c r="D182" i="4"/>
  <c r="E182" i="4"/>
  <c r="C183" i="4"/>
  <c r="D183" i="4"/>
  <c r="E183" i="4"/>
  <c r="C184" i="4"/>
  <c r="D184" i="4"/>
  <c r="E184" i="4"/>
  <c r="C185" i="4"/>
  <c r="D185" i="4"/>
  <c r="E185" i="4"/>
  <c r="C186" i="4"/>
  <c r="D186" i="4"/>
  <c r="E186" i="4"/>
  <c r="C187" i="4"/>
  <c r="D187" i="4"/>
  <c r="E187" i="4"/>
  <c r="C188" i="4"/>
  <c r="D188" i="4"/>
  <c r="E188" i="4"/>
  <c r="C189" i="4"/>
  <c r="D189" i="4"/>
  <c r="E189" i="4"/>
  <c r="C190" i="4"/>
  <c r="D190" i="4"/>
  <c r="E190" i="4"/>
  <c r="C191" i="4"/>
  <c r="D191" i="4"/>
  <c r="E191" i="4"/>
  <c r="C192" i="4"/>
  <c r="D192" i="4"/>
  <c r="E192" i="4"/>
  <c r="C193" i="4"/>
  <c r="D193" i="4"/>
  <c r="E193" i="4"/>
  <c r="C194" i="4"/>
  <c r="D194" i="4"/>
  <c r="E194" i="4"/>
  <c r="C195" i="4"/>
  <c r="D195" i="4"/>
  <c r="E195" i="4"/>
  <c r="C196" i="4"/>
  <c r="D196" i="4"/>
  <c r="E196" i="4"/>
  <c r="C197" i="4"/>
  <c r="D197" i="4"/>
  <c r="E197" i="4"/>
  <c r="C198" i="4"/>
  <c r="D198" i="4"/>
  <c r="E198" i="4"/>
  <c r="C199" i="4"/>
  <c r="D199" i="4"/>
  <c r="E199" i="4"/>
  <c r="C200" i="4"/>
  <c r="D200" i="4"/>
  <c r="E200" i="4"/>
  <c r="D32" i="4"/>
  <c r="E32" i="4"/>
  <c r="C32" i="4"/>
  <c r="C4" i="3"/>
  <c r="D4" i="3"/>
  <c r="E4" i="3"/>
  <c r="C5" i="3"/>
  <c r="D5" i="3"/>
  <c r="E5" i="3"/>
  <c r="C6" i="3"/>
  <c r="D6" i="3"/>
  <c r="E6" i="3"/>
  <c r="C7" i="3"/>
  <c r="D7" i="3"/>
  <c r="E7" i="3"/>
  <c r="C8" i="3"/>
  <c r="D8" i="3"/>
  <c r="E8" i="3"/>
  <c r="C9" i="3"/>
  <c r="D9" i="3"/>
  <c r="E9" i="3"/>
  <c r="C10" i="3"/>
  <c r="D10" i="3"/>
  <c r="E10" i="3"/>
  <c r="C11" i="3"/>
  <c r="D11" i="3"/>
  <c r="E11" i="3"/>
  <c r="C12" i="3"/>
  <c r="D12" i="3"/>
  <c r="E12" i="3"/>
  <c r="C13" i="3"/>
  <c r="D13" i="3"/>
  <c r="E13" i="3"/>
  <c r="C14" i="3"/>
  <c r="D14" i="3"/>
  <c r="E14" i="3"/>
  <c r="C15" i="3"/>
  <c r="D15" i="3"/>
  <c r="E15" i="3"/>
  <c r="C16" i="3"/>
  <c r="D16" i="3"/>
  <c r="E16" i="3"/>
  <c r="C17" i="3"/>
  <c r="D17" i="3"/>
  <c r="E17" i="3"/>
  <c r="C18" i="3"/>
  <c r="D18" i="3"/>
  <c r="E18" i="3"/>
  <c r="C19" i="3"/>
  <c r="D19" i="3"/>
  <c r="E19" i="3"/>
  <c r="C20" i="3"/>
  <c r="D20" i="3"/>
  <c r="E20" i="3"/>
  <c r="C21" i="3"/>
  <c r="D21" i="3"/>
  <c r="E21" i="3"/>
  <c r="C22" i="3"/>
  <c r="D22" i="3"/>
  <c r="E22" i="3"/>
  <c r="C23" i="3"/>
  <c r="D23" i="3"/>
  <c r="E23" i="3"/>
  <c r="C24" i="3"/>
  <c r="D24" i="3"/>
  <c r="E24" i="3"/>
  <c r="C25" i="3"/>
  <c r="D25" i="3"/>
  <c r="E25" i="3"/>
  <c r="C26" i="3"/>
  <c r="D26" i="3"/>
  <c r="E26" i="3"/>
  <c r="C27" i="3"/>
  <c r="D27" i="3"/>
  <c r="E27" i="3"/>
  <c r="C28" i="3"/>
  <c r="D28" i="3"/>
  <c r="E28" i="3"/>
  <c r="C29" i="3"/>
  <c r="D29" i="3"/>
  <c r="E29" i="3"/>
  <c r="C30" i="3"/>
  <c r="D30" i="3"/>
  <c r="E30" i="3"/>
  <c r="C31" i="3"/>
  <c r="D31" i="3"/>
  <c r="E31" i="3"/>
  <c r="C32" i="3"/>
  <c r="D32" i="3"/>
  <c r="E32" i="3"/>
  <c r="C33" i="3"/>
  <c r="D33" i="3"/>
  <c r="E33" i="3"/>
  <c r="C34" i="3"/>
  <c r="D34" i="3"/>
  <c r="E34" i="3"/>
  <c r="C35" i="3"/>
  <c r="D35" i="3"/>
  <c r="E35" i="3"/>
  <c r="C36" i="3"/>
  <c r="D36" i="3"/>
  <c r="E36" i="3"/>
  <c r="C37" i="3"/>
  <c r="D37" i="3"/>
  <c r="E37" i="3"/>
  <c r="C38" i="3"/>
  <c r="D38" i="3"/>
  <c r="E38" i="3"/>
  <c r="C39" i="3"/>
  <c r="D39" i="3"/>
  <c r="E39" i="3"/>
  <c r="C40" i="3"/>
  <c r="D40" i="3"/>
  <c r="E40" i="3"/>
  <c r="C41" i="3"/>
  <c r="D41" i="3"/>
  <c r="E41" i="3"/>
  <c r="C42" i="3"/>
  <c r="D42" i="3"/>
  <c r="E42" i="3"/>
  <c r="C43" i="3"/>
  <c r="D43" i="3"/>
  <c r="E43" i="3"/>
  <c r="C44" i="3"/>
  <c r="D44" i="3"/>
  <c r="E44" i="3"/>
  <c r="C45" i="3"/>
  <c r="D45" i="3"/>
  <c r="E45" i="3"/>
  <c r="C46" i="3"/>
  <c r="D46" i="3"/>
  <c r="E46" i="3"/>
  <c r="C47" i="3"/>
  <c r="D47" i="3"/>
  <c r="E47" i="3"/>
  <c r="C48" i="3"/>
  <c r="D48" i="3"/>
  <c r="E48" i="3"/>
  <c r="C49" i="3"/>
  <c r="D49" i="3"/>
  <c r="E49" i="3"/>
  <c r="C50" i="3"/>
  <c r="D50" i="3"/>
  <c r="E50" i="3"/>
  <c r="C51" i="3"/>
  <c r="D51" i="3"/>
  <c r="E51" i="3"/>
  <c r="C52" i="3"/>
  <c r="D52" i="3"/>
  <c r="E52" i="3"/>
  <c r="C53" i="3"/>
  <c r="D53" i="3"/>
  <c r="E53" i="3"/>
  <c r="C54" i="3"/>
  <c r="D54" i="3"/>
  <c r="E54" i="3"/>
  <c r="C55" i="3"/>
  <c r="D55" i="3"/>
  <c r="E55" i="3"/>
  <c r="C56" i="3"/>
  <c r="D56" i="3"/>
  <c r="E56" i="3"/>
  <c r="C57" i="3"/>
  <c r="D57" i="3"/>
  <c r="E57" i="3"/>
  <c r="C58" i="3"/>
  <c r="D58" i="3"/>
  <c r="E58" i="3"/>
  <c r="C59" i="3"/>
  <c r="D59" i="3"/>
  <c r="E59" i="3"/>
  <c r="C60" i="3"/>
  <c r="D60" i="3"/>
  <c r="E60" i="3"/>
  <c r="C61" i="3"/>
  <c r="D61" i="3"/>
  <c r="E61" i="3"/>
  <c r="C62" i="3"/>
  <c r="D62" i="3"/>
  <c r="E62" i="3"/>
  <c r="C63" i="3"/>
  <c r="D63" i="3"/>
  <c r="E63" i="3"/>
  <c r="C64" i="3"/>
  <c r="D64" i="3"/>
  <c r="E64" i="3"/>
  <c r="C65" i="3"/>
  <c r="D65" i="3"/>
  <c r="E65" i="3"/>
  <c r="C66" i="3"/>
  <c r="D66" i="3"/>
  <c r="E66" i="3"/>
  <c r="C67" i="3"/>
  <c r="D67" i="3"/>
  <c r="E67" i="3"/>
  <c r="C68" i="3"/>
  <c r="D68" i="3"/>
  <c r="E68" i="3"/>
  <c r="C69" i="3"/>
  <c r="D69" i="3"/>
  <c r="E69" i="3"/>
  <c r="C70" i="3"/>
  <c r="D70" i="3"/>
  <c r="E70" i="3"/>
  <c r="C71" i="3"/>
  <c r="D71" i="3"/>
  <c r="E71" i="3"/>
  <c r="C72" i="3"/>
  <c r="D72" i="3"/>
  <c r="E72" i="3"/>
  <c r="C73" i="3"/>
  <c r="D73" i="3"/>
  <c r="E73" i="3"/>
  <c r="C74" i="3"/>
  <c r="D74" i="3"/>
  <c r="E74" i="3"/>
  <c r="C75" i="3"/>
  <c r="D75" i="3"/>
  <c r="E75" i="3"/>
  <c r="C76" i="3"/>
  <c r="D76" i="3"/>
  <c r="E76" i="3"/>
  <c r="C77" i="3"/>
  <c r="D77" i="3"/>
  <c r="E77" i="3"/>
  <c r="C78" i="3"/>
  <c r="D78" i="3"/>
  <c r="E78" i="3"/>
  <c r="C79" i="3"/>
  <c r="D79" i="3"/>
  <c r="E79" i="3"/>
  <c r="C80" i="3"/>
  <c r="D80" i="3"/>
  <c r="E80" i="3"/>
  <c r="C81" i="3"/>
  <c r="D81" i="3"/>
  <c r="E81" i="3"/>
  <c r="C82" i="3"/>
  <c r="D82" i="3"/>
  <c r="E82" i="3"/>
  <c r="C83" i="3"/>
  <c r="D83" i="3"/>
  <c r="E83" i="3"/>
  <c r="C84" i="3"/>
  <c r="D84" i="3"/>
  <c r="E84" i="3"/>
  <c r="C85" i="3"/>
  <c r="D85" i="3"/>
  <c r="E85" i="3"/>
  <c r="C86" i="3"/>
  <c r="D86" i="3"/>
  <c r="E86" i="3"/>
  <c r="C87" i="3"/>
  <c r="D87" i="3"/>
  <c r="E87" i="3"/>
  <c r="C88" i="3"/>
  <c r="D88" i="3"/>
  <c r="E88" i="3"/>
  <c r="C89" i="3"/>
  <c r="D89" i="3"/>
  <c r="E89" i="3"/>
  <c r="C90" i="3"/>
  <c r="D90" i="3"/>
  <c r="E90" i="3"/>
  <c r="C91" i="3"/>
  <c r="D91" i="3"/>
  <c r="E91" i="3"/>
  <c r="C92" i="3"/>
  <c r="D92" i="3"/>
  <c r="E92" i="3"/>
  <c r="C93" i="3"/>
  <c r="D93" i="3"/>
  <c r="E93" i="3"/>
  <c r="C94" i="3"/>
  <c r="D94" i="3"/>
  <c r="E94" i="3"/>
  <c r="C95" i="3"/>
  <c r="D95" i="3"/>
  <c r="E95" i="3"/>
  <c r="C96" i="3"/>
  <c r="D96" i="3"/>
  <c r="E96" i="3"/>
  <c r="C97" i="3"/>
  <c r="D97" i="3"/>
  <c r="E97" i="3"/>
  <c r="C98" i="3"/>
  <c r="D98" i="3"/>
  <c r="E98" i="3"/>
  <c r="C99" i="3"/>
  <c r="D99" i="3"/>
  <c r="E99" i="3"/>
  <c r="C100" i="3"/>
  <c r="D100" i="3"/>
  <c r="E100" i="3"/>
  <c r="C101" i="3"/>
  <c r="D101" i="3"/>
  <c r="E101" i="3"/>
  <c r="C102" i="3"/>
  <c r="D102" i="3"/>
  <c r="E102" i="3"/>
  <c r="C103" i="3"/>
  <c r="D103" i="3"/>
  <c r="E103" i="3"/>
  <c r="C104" i="3"/>
  <c r="D104" i="3"/>
  <c r="E104" i="3"/>
  <c r="C105" i="3"/>
  <c r="D105" i="3"/>
  <c r="E105" i="3"/>
  <c r="C106" i="3"/>
  <c r="D106" i="3"/>
  <c r="E106" i="3"/>
  <c r="C107" i="3"/>
  <c r="D107" i="3"/>
  <c r="E107" i="3"/>
  <c r="C108" i="3"/>
  <c r="D108" i="3"/>
  <c r="E108" i="3"/>
  <c r="C109" i="3"/>
  <c r="D109" i="3"/>
  <c r="E109" i="3"/>
  <c r="C110" i="3"/>
  <c r="D110" i="3"/>
  <c r="E110" i="3"/>
  <c r="C111" i="3"/>
  <c r="D111" i="3"/>
  <c r="E111" i="3"/>
  <c r="C112" i="3"/>
  <c r="D112" i="3"/>
  <c r="E112" i="3"/>
  <c r="C113" i="3"/>
  <c r="D113" i="3"/>
  <c r="E113" i="3"/>
  <c r="C114" i="3"/>
  <c r="D114" i="3"/>
  <c r="E114" i="3"/>
  <c r="C115" i="3"/>
  <c r="D115" i="3"/>
  <c r="E115" i="3"/>
  <c r="C116" i="3"/>
  <c r="D116" i="3"/>
  <c r="E116" i="3"/>
  <c r="C117" i="3"/>
  <c r="D117" i="3"/>
  <c r="E117" i="3"/>
  <c r="C118" i="3"/>
  <c r="D118" i="3"/>
  <c r="E118" i="3"/>
  <c r="C119" i="3"/>
  <c r="D119" i="3"/>
  <c r="E119" i="3"/>
  <c r="C120" i="3"/>
  <c r="D120" i="3"/>
  <c r="E120" i="3"/>
  <c r="C121" i="3"/>
  <c r="D121" i="3"/>
  <c r="E121" i="3"/>
  <c r="C122" i="3"/>
  <c r="D122" i="3"/>
  <c r="E122" i="3"/>
  <c r="C123" i="3"/>
  <c r="D123" i="3"/>
  <c r="E123" i="3"/>
  <c r="C124" i="3"/>
  <c r="D124" i="3"/>
  <c r="E124" i="3"/>
  <c r="C125" i="3"/>
  <c r="D125" i="3"/>
  <c r="E125" i="3"/>
  <c r="C126" i="3"/>
  <c r="D126" i="3"/>
  <c r="E126" i="3"/>
  <c r="C127" i="3"/>
  <c r="D127" i="3"/>
  <c r="E127" i="3"/>
  <c r="C128" i="3"/>
  <c r="D128" i="3"/>
  <c r="E128" i="3"/>
  <c r="C129" i="3"/>
  <c r="D129" i="3"/>
  <c r="E129" i="3"/>
  <c r="C130" i="3"/>
  <c r="D130" i="3"/>
  <c r="E130" i="3"/>
  <c r="C131" i="3"/>
  <c r="D131" i="3"/>
  <c r="E131" i="3"/>
  <c r="C132" i="3"/>
  <c r="D132" i="3"/>
  <c r="E132" i="3"/>
  <c r="C133" i="3"/>
  <c r="D133" i="3"/>
  <c r="E133" i="3"/>
  <c r="C134" i="3"/>
  <c r="D134" i="3"/>
  <c r="E134" i="3"/>
  <c r="C135" i="3"/>
  <c r="D135" i="3"/>
  <c r="E135" i="3"/>
  <c r="C136" i="3"/>
  <c r="D136" i="3"/>
  <c r="E136" i="3"/>
  <c r="C137" i="3"/>
  <c r="D137" i="3"/>
  <c r="E137" i="3"/>
  <c r="C138" i="3"/>
  <c r="D138" i="3"/>
  <c r="E138" i="3"/>
  <c r="C139" i="3"/>
  <c r="D139" i="3"/>
  <c r="E139" i="3"/>
  <c r="C140" i="3"/>
  <c r="D140" i="3"/>
  <c r="E140" i="3"/>
  <c r="C141" i="3"/>
  <c r="D141" i="3"/>
  <c r="E141" i="3"/>
  <c r="C142" i="3"/>
  <c r="D142" i="3"/>
  <c r="E142" i="3"/>
  <c r="C143" i="3"/>
  <c r="D143" i="3"/>
  <c r="E143" i="3"/>
  <c r="C144" i="3"/>
  <c r="D144" i="3"/>
  <c r="E144" i="3"/>
  <c r="C145" i="3"/>
  <c r="D145" i="3"/>
  <c r="E145" i="3"/>
  <c r="C146" i="3"/>
  <c r="D146" i="3"/>
  <c r="E146" i="3"/>
  <c r="C147" i="3"/>
  <c r="D147" i="3"/>
  <c r="E147" i="3"/>
  <c r="C148" i="3"/>
  <c r="D148" i="3"/>
  <c r="E148" i="3"/>
  <c r="C149" i="3"/>
  <c r="D149" i="3"/>
  <c r="E149" i="3"/>
  <c r="C150" i="3"/>
  <c r="D150" i="3"/>
  <c r="E150" i="3"/>
  <c r="C151" i="3"/>
  <c r="D151" i="3"/>
  <c r="E151" i="3"/>
  <c r="C152" i="3"/>
  <c r="D152" i="3"/>
  <c r="E152" i="3"/>
  <c r="C153" i="3"/>
  <c r="D153" i="3"/>
  <c r="E153" i="3"/>
  <c r="C154" i="3"/>
  <c r="D154" i="3"/>
  <c r="E154" i="3"/>
  <c r="C155" i="3"/>
  <c r="D155" i="3"/>
  <c r="E155" i="3"/>
  <c r="C156" i="3"/>
  <c r="D156" i="3"/>
  <c r="E156" i="3"/>
  <c r="C157" i="3"/>
  <c r="D157" i="3"/>
  <c r="E157" i="3"/>
  <c r="C158" i="3"/>
  <c r="D158" i="3"/>
  <c r="E158" i="3"/>
  <c r="C159" i="3"/>
  <c r="D159" i="3"/>
  <c r="E159" i="3"/>
  <c r="C160" i="3"/>
  <c r="D160" i="3"/>
  <c r="E160" i="3"/>
  <c r="C161" i="3"/>
  <c r="D161" i="3"/>
  <c r="E161" i="3"/>
  <c r="C162" i="3"/>
  <c r="D162" i="3"/>
  <c r="E162" i="3"/>
  <c r="C163" i="3"/>
  <c r="D163" i="3"/>
  <c r="E163" i="3"/>
  <c r="C164" i="3"/>
  <c r="D164" i="3"/>
  <c r="E164" i="3"/>
  <c r="C165" i="3"/>
  <c r="D165" i="3"/>
  <c r="E165" i="3"/>
  <c r="C166" i="3"/>
  <c r="D166" i="3"/>
  <c r="E166" i="3"/>
  <c r="C167" i="3"/>
  <c r="D167" i="3"/>
  <c r="E167" i="3"/>
  <c r="C168" i="3"/>
  <c r="D168" i="3"/>
  <c r="E168" i="3"/>
  <c r="C169" i="3"/>
  <c r="D169" i="3"/>
  <c r="E169" i="3"/>
  <c r="C170" i="3"/>
  <c r="D170" i="3"/>
  <c r="E170" i="3"/>
  <c r="C171" i="3"/>
  <c r="D171" i="3"/>
  <c r="E171" i="3"/>
  <c r="C172" i="3"/>
  <c r="D172" i="3"/>
  <c r="E172" i="3"/>
  <c r="C173" i="3"/>
  <c r="D173" i="3"/>
  <c r="E173" i="3"/>
  <c r="C174" i="3"/>
  <c r="D174" i="3"/>
  <c r="E174" i="3"/>
  <c r="C175" i="3"/>
  <c r="D175" i="3"/>
  <c r="E175" i="3"/>
  <c r="C176" i="3"/>
  <c r="D176" i="3"/>
  <c r="E176" i="3"/>
  <c r="C177" i="3"/>
  <c r="D177" i="3"/>
  <c r="E177" i="3"/>
  <c r="C178" i="3"/>
  <c r="D178" i="3"/>
  <c r="E178" i="3"/>
  <c r="C179" i="3"/>
  <c r="D179" i="3"/>
  <c r="E179" i="3"/>
  <c r="C180" i="3"/>
  <c r="D180" i="3"/>
  <c r="E180" i="3"/>
  <c r="C181" i="3"/>
  <c r="D181" i="3"/>
  <c r="E181" i="3"/>
  <c r="C182" i="3"/>
  <c r="D182" i="3"/>
  <c r="E182" i="3"/>
  <c r="C183" i="3"/>
  <c r="D183" i="3"/>
  <c r="E183" i="3"/>
  <c r="C184" i="3"/>
  <c r="D184" i="3"/>
  <c r="E184" i="3"/>
  <c r="C185" i="3"/>
  <c r="D185" i="3"/>
  <c r="E185" i="3"/>
  <c r="C186" i="3"/>
  <c r="D186" i="3"/>
  <c r="E186" i="3"/>
  <c r="C187" i="3"/>
  <c r="D187" i="3"/>
  <c r="E187" i="3"/>
  <c r="C188" i="3"/>
  <c r="D188" i="3"/>
  <c r="E188" i="3"/>
  <c r="C189" i="3"/>
  <c r="D189" i="3"/>
  <c r="E189" i="3"/>
  <c r="C190" i="3"/>
  <c r="D190" i="3"/>
  <c r="E190" i="3"/>
  <c r="C191" i="3"/>
  <c r="D191" i="3"/>
  <c r="E191" i="3"/>
  <c r="C192" i="3"/>
  <c r="D192" i="3"/>
  <c r="E192" i="3"/>
  <c r="C193" i="3"/>
  <c r="D193" i="3"/>
  <c r="E193" i="3"/>
  <c r="C194" i="3"/>
  <c r="D194" i="3"/>
  <c r="E194" i="3"/>
  <c r="C195" i="3"/>
  <c r="D195" i="3"/>
  <c r="E195" i="3"/>
  <c r="C196" i="3"/>
  <c r="D196" i="3"/>
  <c r="E196" i="3"/>
  <c r="C197" i="3"/>
  <c r="D197" i="3"/>
  <c r="E197" i="3"/>
  <c r="C198" i="3"/>
  <c r="D198" i="3"/>
  <c r="E198" i="3"/>
  <c r="C199" i="3"/>
  <c r="D199" i="3"/>
  <c r="E199" i="3"/>
  <c r="C200" i="3"/>
  <c r="D200" i="3"/>
  <c r="E200" i="3"/>
  <c r="D3" i="3"/>
  <c r="E3" i="3"/>
  <c r="C3" i="9"/>
  <c r="C106" i="9"/>
  <c r="D106" i="9"/>
  <c r="E106" i="9"/>
  <c r="C107" i="9"/>
  <c r="D107" i="9"/>
  <c r="E107" i="9"/>
  <c r="C108" i="9"/>
  <c r="D108" i="9"/>
  <c r="E108" i="9"/>
  <c r="C109" i="9"/>
  <c r="D109" i="9"/>
  <c r="E109" i="9"/>
  <c r="C110" i="9"/>
  <c r="D110" i="9"/>
  <c r="E110" i="9"/>
  <c r="C111" i="9"/>
  <c r="D111" i="9"/>
  <c r="E111" i="9"/>
  <c r="C112" i="9"/>
  <c r="D112" i="9"/>
  <c r="E112" i="9"/>
  <c r="C113" i="9"/>
  <c r="D113" i="9"/>
  <c r="E113" i="9"/>
  <c r="C114" i="9"/>
  <c r="D114" i="9"/>
  <c r="E114" i="9"/>
  <c r="C115" i="9"/>
  <c r="D115" i="9"/>
  <c r="E115" i="9"/>
  <c r="C116" i="9"/>
  <c r="D116" i="9"/>
  <c r="E116" i="9"/>
  <c r="C117" i="9"/>
  <c r="D117" i="9"/>
  <c r="E117" i="9"/>
  <c r="C118" i="9"/>
  <c r="D118" i="9"/>
  <c r="E118" i="9"/>
  <c r="C119" i="9"/>
  <c r="D119" i="9"/>
  <c r="E119" i="9"/>
  <c r="C120" i="9"/>
  <c r="D120" i="9"/>
  <c r="E120" i="9"/>
  <c r="C121" i="9"/>
  <c r="D121" i="9"/>
  <c r="E121" i="9"/>
  <c r="C122" i="9"/>
  <c r="D122" i="9"/>
  <c r="E122" i="9"/>
  <c r="C123" i="9"/>
  <c r="D123" i="9"/>
  <c r="E123" i="9"/>
  <c r="C124" i="9"/>
  <c r="D124" i="9"/>
  <c r="E124" i="9"/>
  <c r="C125" i="9"/>
  <c r="D125" i="9"/>
  <c r="E125" i="9"/>
  <c r="C126" i="9"/>
  <c r="D126" i="9"/>
  <c r="E126" i="9"/>
  <c r="C127" i="9"/>
  <c r="D127" i="9"/>
  <c r="E127" i="9"/>
  <c r="C128" i="9"/>
  <c r="D128" i="9"/>
  <c r="E128" i="9"/>
  <c r="C129" i="9"/>
  <c r="D129" i="9"/>
  <c r="E129" i="9"/>
  <c r="C130" i="9"/>
  <c r="D130" i="9"/>
  <c r="E130" i="9"/>
  <c r="C131" i="9"/>
  <c r="D131" i="9"/>
  <c r="E131" i="9"/>
  <c r="C132" i="9"/>
  <c r="D132" i="9"/>
  <c r="E132" i="9"/>
  <c r="C133" i="9"/>
  <c r="D133" i="9"/>
  <c r="E133" i="9"/>
  <c r="C134" i="9"/>
  <c r="D134" i="9"/>
  <c r="E134" i="9"/>
  <c r="C135" i="9"/>
  <c r="D135" i="9"/>
  <c r="E135" i="9"/>
  <c r="C136" i="9"/>
  <c r="D136" i="9"/>
  <c r="E136" i="9"/>
  <c r="C137" i="9"/>
  <c r="D137" i="9"/>
  <c r="E137" i="9"/>
  <c r="C138" i="9"/>
  <c r="D138" i="9"/>
  <c r="E138" i="9"/>
  <c r="C139" i="9"/>
  <c r="D139" i="9"/>
  <c r="E139" i="9"/>
  <c r="C140" i="9"/>
  <c r="D140" i="9"/>
  <c r="E140" i="9"/>
  <c r="C141" i="9"/>
  <c r="D141" i="9"/>
  <c r="E141" i="9"/>
  <c r="C142" i="9"/>
  <c r="D142" i="9"/>
  <c r="E142" i="9"/>
  <c r="C143" i="9"/>
  <c r="D143" i="9"/>
  <c r="E143" i="9"/>
  <c r="C144" i="9"/>
  <c r="D144" i="9"/>
  <c r="E144" i="9"/>
  <c r="C145" i="9"/>
  <c r="D145" i="9"/>
  <c r="E145" i="9"/>
  <c r="C146" i="9"/>
  <c r="D146" i="9"/>
  <c r="E146" i="9"/>
  <c r="C147" i="9"/>
  <c r="D147" i="9"/>
  <c r="E147" i="9"/>
  <c r="C148" i="9"/>
  <c r="D148" i="9"/>
  <c r="E148" i="9"/>
  <c r="C149" i="9"/>
  <c r="D149" i="9"/>
  <c r="E149" i="9"/>
  <c r="C150" i="9"/>
  <c r="D150" i="9"/>
  <c r="E150" i="9"/>
  <c r="C151" i="9"/>
  <c r="D151" i="9"/>
  <c r="E151" i="9"/>
  <c r="C152" i="9"/>
  <c r="D152" i="9"/>
  <c r="E152" i="9"/>
  <c r="C153" i="9"/>
  <c r="D153" i="9"/>
  <c r="E153" i="9"/>
  <c r="C154" i="9"/>
  <c r="D154" i="9"/>
  <c r="E154" i="9"/>
  <c r="C155" i="9"/>
  <c r="D155" i="9"/>
  <c r="E155" i="9"/>
  <c r="C156" i="9"/>
  <c r="D156" i="9"/>
  <c r="E156" i="9"/>
  <c r="C157" i="9"/>
  <c r="D157" i="9"/>
  <c r="E157" i="9"/>
  <c r="C158" i="9"/>
  <c r="D158" i="9"/>
  <c r="E158" i="9"/>
  <c r="C159" i="9"/>
  <c r="D159" i="9"/>
  <c r="E159" i="9"/>
  <c r="C160" i="9"/>
  <c r="D160" i="9"/>
  <c r="E160" i="9"/>
  <c r="C161" i="9"/>
  <c r="D161" i="9"/>
  <c r="E161" i="9"/>
  <c r="C162" i="9"/>
  <c r="D162" i="9"/>
  <c r="E162" i="9"/>
  <c r="C163" i="9"/>
  <c r="D163" i="9"/>
  <c r="E163" i="9"/>
  <c r="C164" i="9"/>
  <c r="D164" i="9"/>
  <c r="E164" i="9"/>
  <c r="C165" i="9"/>
  <c r="D165" i="9"/>
  <c r="E165" i="9"/>
  <c r="C166" i="9"/>
  <c r="D166" i="9"/>
  <c r="E166" i="9"/>
  <c r="C167" i="9"/>
  <c r="D167" i="9"/>
  <c r="E167" i="9"/>
  <c r="C168" i="9"/>
  <c r="D168" i="9"/>
  <c r="E168" i="9"/>
  <c r="C169" i="9"/>
  <c r="D169" i="9"/>
  <c r="E169" i="9"/>
  <c r="C170" i="9"/>
  <c r="D170" i="9"/>
  <c r="E170" i="9"/>
  <c r="C171" i="9"/>
  <c r="D171" i="9"/>
  <c r="E171" i="9"/>
  <c r="C172" i="9"/>
  <c r="D172" i="9"/>
  <c r="E172" i="9"/>
  <c r="C173" i="9"/>
  <c r="D173" i="9"/>
  <c r="E173" i="9"/>
  <c r="C174" i="9"/>
  <c r="D174" i="9"/>
  <c r="E174" i="9"/>
  <c r="C175" i="9"/>
  <c r="D175" i="9"/>
  <c r="E175" i="9"/>
  <c r="C176" i="9"/>
  <c r="D176" i="9"/>
  <c r="E176" i="9"/>
  <c r="C177" i="9"/>
  <c r="D177" i="9"/>
  <c r="E177" i="9"/>
  <c r="C178" i="9"/>
  <c r="D178" i="9"/>
  <c r="E178" i="9"/>
  <c r="C179" i="9"/>
  <c r="D179" i="9"/>
  <c r="E179" i="9"/>
  <c r="C180" i="9"/>
  <c r="D180" i="9"/>
  <c r="E180" i="9"/>
  <c r="C181" i="9"/>
  <c r="D181" i="9"/>
  <c r="E181" i="9"/>
  <c r="C182" i="9"/>
  <c r="D182" i="9"/>
  <c r="E182" i="9"/>
  <c r="C183" i="9"/>
  <c r="D183" i="9"/>
  <c r="E183" i="9"/>
  <c r="C184" i="9"/>
  <c r="D184" i="9"/>
  <c r="E184" i="9"/>
  <c r="C185" i="9"/>
  <c r="D185" i="9"/>
  <c r="E185" i="9"/>
  <c r="C186" i="9"/>
  <c r="D186" i="9"/>
  <c r="E186" i="9"/>
  <c r="C187" i="9"/>
  <c r="D187" i="9"/>
  <c r="E187" i="9"/>
  <c r="C188" i="9"/>
  <c r="D188" i="9"/>
  <c r="E188" i="9"/>
  <c r="C189" i="9"/>
  <c r="D189" i="9"/>
  <c r="E189" i="9"/>
  <c r="C190" i="9"/>
  <c r="D190" i="9"/>
  <c r="E190" i="9"/>
  <c r="C191" i="9"/>
  <c r="D191" i="9"/>
  <c r="E191" i="9"/>
  <c r="C192" i="9"/>
  <c r="D192" i="9"/>
  <c r="E192" i="9"/>
  <c r="C193" i="9"/>
  <c r="D193" i="9"/>
  <c r="E193" i="9"/>
  <c r="C194" i="9"/>
  <c r="D194" i="9"/>
  <c r="E194" i="9"/>
  <c r="C195" i="9"/>
  <c r="D195" i="9"/>
  <c r="E195" i="9"/>
  <c r="C196" i="9"/>
  <c r="D196" i="9"/>
  <c r="E196" i="9"/>
  <c r="C197" i="9"/>
  <c r="D197" i="9"/>
  <c r="E197" i="9"/>
  <c r="C198" i="9"/>
  <c r="D198" i="9"/>
  <c r="E198" i="9"/>
  <c r="C199" i="9"/>
  <c r="D199" i="9"/>
  <c r="E199" i="9"/>
  <c r="C200" i="9"/>
  <c r="D200" i="9"/>
  <c r="E200" i="9"/>
  <c r="C52" i="9"/>
  <c r="D52" i="9"/>
  <c r="E52" i="9"/>
  <c r="C53" i="9"/>
  <c r="D53" i="9"/>
  <c r="E53" i="9"/>
  <c r="C54" i="9"/>
  <c r="D54" i="9"/>
  <c r="E54" i="9"/>
  <c r="C55" i="9"/>
  <c r="D55" i="9"/>
  <c r="E55" i="9"/>
  <c r="C56" i="9"/>
  <c r="D56" i="9"/>
  <c r="E56" i="9"/>
  <c r="C57" i="9"/>
  <c r="D57" i="9"/>
  <c r="E57" i="9"/>
  <c r="C58" i="9"/>
  <c r="D58" i="9"/>
  <c r="E58" i="9"/>
  <c r="C59" i="9"/>
  <c r="D59" i="9"/>
  <c r="E59" i="9"/>
  <c r="C60" i="9"/>
  <c r="D60" i="9"/>
  <c r="E60" i="9"/>
  <c r="C61" i="9"/>
  <c r="D61" i="9"/>
  <c r="E61" i="9"/>
  <c r="C62" i="9"/>
  <c r="D62" i="9"/>
  <c r="E62" i="9"/>
  <c r="C63" i="9"/>
  <c r="D63" i="9"/>
  <c r="E63" i="9"/>
  <c r="C64" i="9"/>
  <c r="D64" i="9"/>
  <c r="E64" i="9"/>
  <c r="C65" i="9"/>
  <c r="D65" i="9"/>
  <c r="E65" i="9"/>
  <c r="C66" i="9"/>
  <c r="D66" i="9"/>
  <c r="E66" i="9"/>
  <c r="C67" i="9"/>
  <c r="D67" i="9"/>
  <c r="E67" i="9"/>
  <c r="C68" i="9"/>
  <c r="D68" i="9"/>
  <c r="E68" i="9"/>
  <c r="C69" i="9"/>
  <c r="D69" i="9"/>
  <c r="E69" i="9"/>
  <c r="C70" i="9"/>
  <c r="D70" i="9"/>
  <c r="E70" i="9"/>
  <c r="C71" i="9"/>
  <c r="D71" i="9"/>
  <c r="E71" i="9"/>
  <c r="C72" i="9"/>
  <c r="D72" i="9"/>
  <c r="E72" i="9"/>
  <c r="C73" i="9"/>
  <c r="D73" i="9"/>
  <c r="E73" i="9"/>
  <c r="C74" i="9"/>
  <c r="D74" i="9"/>
  <c r="E74" i="9"/>
  <c r="C75" i="9"/>
  <c r="D75" i="9"/>
  <c r="E75" i="9"/>
  <c r="C76" i="9"/>
  <c r="D76" i="9"/>
  <c r="E76" i="9"/>
  <c r="C77" i="9"/>
  <c r="D77" i="9"/>
  <c r="E77" i="9"/>
  <c r="C78" i="9"/>
  <c r="D78" i="9"/>
  <c r="E78" i="9"/>
  <c r="C79" i="9"/>
  <c r="D79" i="9"/>
  <c r="E79" i="9"/>
  <c r="C80" i="9"/>
  <c r="D80" i="9"/>
  <c r="E80" i="9"/>
  <c r="C81" i="9"/>
  <c r="D81" i="9"/>
  <c r="E81" i="9"/>
  <c r="C82" i="9"/>
  <c r="D82" i="9"/>
  <c r="E82" i="9"/>
  <c r="C83" i="9"/>
  <c r="D83" i="9"/>
  <c r="E83" i="9"/>
  <c r="C84" i="9"/>
  <c r="D84" i="9"/>
  <c r="E84" i="9"/>
  <c r="C85" i="9"/>
  <c r="D85" i="9"/>
  <c r="E85" i="9"/>
  <c r="C86" i="9"/>
  <c r="D86" i="9"/>
  <c r="E86" i="9"/>
  <c r="C87" i="9"/>
  <c r="D87" i="9"/>
  <c r="E87" i="9"/>
  <c r="C88" i="9"/>
  <c r="D88" i="9"/>
  <c r="E88" i="9"/>
  <c r="C89" i="9"/>
  <c r="D89" i="9"/>
  <c r="E89" i="9"/>
  <c r="C90" i="9"/>
  <c r="D90" i="9"/>
  <c r="E90" i="9"/>
  <c r="C91" i="9"/>
  <c r="D91" i="9"/>
  <c r="E91" i="9"/>
  <c r="C92" i="9"/>
  <c r="D92" i="9"/>
  <c r="E92" i="9"/>
  <c r="C93" i="9"/>
  <c r="D93" i="9"/>
  <c r="E93" i="9"/>
  <c r="C94" i="9"/>
  <c r="D94" i="9"/>
  <c r="E94" i="9"/>
  <c r="C95" i="9"/>
  <c r="D95" i="9"/>
  <c r="E95" i="9"/>
  <c r="C96" i="9"/>
  <c r="D96" i="9"/>
  <c r="E96" i="9"/>
  <c r="C97" i="9"/>
  <c r="D97" i="9"/>
  <c r="E97" i="9"/>
  <c r="C98" i="9"/>
  <c r="D98" i="9"/>
  <c r="E98" i="9"/>
  <c r="C99" i="9"/>
  <c r="D99" i="9"/>
  <c r="E99" i="9"/>
  <c r="C100" i="9"/>
  <c r="D100" i="9"/>
  <c r="E100" i="9"/>
  <c r="C101" i="9"/>
  <c r="D101" i="9"/>
  <c r="E101" i="9"/>
  <c r="C102" i="9"/>
  <c r="D102" i="9"/>
  <c r="E102" i="9"/>
  <c r="C103" i="9"/>
  <c r="D103" i="9"/>
  <c r="E103" i="9"/>
  <c r="C104" i="9"/>
  <c r="D104" i="9"/>
  <c r="E104" i="9"/>
  <c r="C105" i="9"/>
  <c r="D105" i="9"/>
  <c r="E105" i="9"/>
  <c r="C17" i="9"/>
  <c r="D17" i="9"/>
  <c r="E17" i="9"/>
  <c r="C18" i="9"/>
  <c r="D18" i="9"/>
  <c r="E18" i="9"/>
  <c r="C19" i="9"/>
  <c r="D19" i="9"/>
  <c r="E19" i="9"/>
  <c r="C20" i="9"/>
  <c r="D20" i="9"/>
  <c r="E20" i="9"/>
  <c r="C21" i="9"/>
  <c r="D21" i="9"/>
  <c r="D22" i="9"/>
  <c r="C23" i="9"/>
  <c r="D23" i="9"/>
  <c r="E23" i="9"/>
  <c r="C24" i="9"/>
  <c r="D24" i="9"/>
  <c r="E24" i="9"/>
  <c r="C25" i="9"/>
  <c r="D25" i="9"/>
  <c r="E25" i="9"/>
  <c r="C26" i="9"/>
  <c r="D26" i="9"/>
  <c r="E26" i="9"/>
  <c r="C27" i="9"/>
  <c r="D27" i="9"/>
  <c r="E27" i="9"/>
  <c r="C28" i="9"/>
  <c r="D28" i="9"/>
  <c r="E28" i="9"/>
  <c r="C29" i="9"/>
  <c r="D29" i="9"/>
  <c r="E29" i="9"/>
  <c r="C30" i="9"/>
  <c r="D30" i="9"/>
  <c r="E30" i="9"/>
  <c r="C31" i="9"/>
  <c r="D31" i="9"/>
  <c r="E31" i="9"/>
  <c r="C32" i="9"/>
  <c r="D32" i="9"/>
  <c r="E32" i="9"/>
  <c r="C33" i="9"/>
  <c r="D33" i="9"/>
  <c r="E33" i="9"/>
  <c r="C34" i="9"/>
  <c r="D34" i="9"/>
  <c r="E34" i="9"/>
  <c r="C35" i="9"/>
  <c r="D35" i="9"/>
  <c r="E35" i="9"/>
  <c r="C36" i="9"/>
  <c r="D36" i="9"/>
  <c r="E36" i="9"/>
  <c r="C37" i="9"/>
  <c r="D37" i="9"/>
  <c r="E37" i="9"/>
  <c r="C38" i="9"/>
  <c r="D38" i="9"/>
  <c r="E38" i="9"/>
  <c r="C39" i="9"/>
  <c r="D39" i="9"/>
  <c r="E39" i="9"/>
  <c r="C40" i="9"/>
  <c r="D40" i="9"/>
  <c r="E40" i="9"/>
  <c r="C41" i="9"/>
  <c r="D41" i="9"/>
  <c r="E41" i="9"/>
  <c r="C42" i="9"/>
  <c r="D42" i="9"/>
  <c r="E42" i="9"/>
  <c r="C43" i="9"/>
  <c r="D43" i="9"/>
  <c r="E43" i="9"/>
  <c r="C44" i="9"/>
  <c r="D44" i="9"/>
  <c r="E44" i="9"/>
  <c r="C45" i="9"/>
  <c r="D45" i="9"/>
  <c r="E45" i="9"/>
  <c r="C46" i="9"/>
  <c r="D46" i="9"/>
  <c r="E46" i="9"/>
  <c r="C47" i="9"/>
  <c r="D47" i="9"/>
  <c r="E47" i="9"/>
  <c r="C48" i="9"/>
  <c r="D48" i="9"/>
  <c r="E48" i="9"/>
  <c r="C49" i="9"/>
  <c r="D49" i="9"/>
  <c r="E49" i="9"/>
  <c r="C50" i="9"/>
  <c r="D50" i="9"/>
  <c r="E50" i="9"/>
  <c r="C51" i="9"/>
  <c r="D51" i="9"/>
  <c r="E51" i="9"/>
  <c r="C5" i="9"/>
  <c r="D5" i="9"/>
  <c r="C6" i="9"/>
  <c r="D6" i="9"/>
  <c r="C7" i="9"/>
  <c r="D7" i="9"/>
  <c r="C8" i="9"/>
  <c r="D8" i="9"/>
  <c r="C9" i="9"/>
  <c r="D9" i="9"/>
  <c r="C10" i="9"/>
  <c r="D10" i="9"/>
  <c r="C11" i="9"/>
  <c r="D11" i="9"/>
  <c r="E11" i="9"/>
  <c r="C12" i="9"/>
  <c r="D12" i="9"/>
  <c r="E12" i="9"/>
  <c r="C13" i="9"/>
  <c r="D13" i="9"/>
  <c r="E13" i="9"/>
  <c r="C14" i="9"/>
  <c r="D14" i="9"/>
  <c r="E14" i="9"/>
  <c r="C15" i="9"/>
  <c r="D15" i="9"/>
  <c r="E15" i="9"/>
  <c r="C16" i="9"/>
  <c r="D16" i="9"/>
  <c r="E16" i="9"/>
  <c r="C4" i="9"/>
  <c r="D4" i="9"/>
  <c r="E3" i="9"/>
  <c r="D3" i="9"/>
</calcChain>
</file>

<file path=xl/sharedStrings.xml><?xml version="1.0" encoding="utf-8"?>
<sst xmlns="http://schemas.openxmlformats.org/spreadsheetml/2006/main" count="815" uniqueCount="388">
  <si>
    <t>백범일지(한글 정본)</t>
  </si>
  <si>
    <t>월스트리트저널 인포그래픽 가이드</t>
  </si>
  <si>
    <t>철학은 어떻게 삶의 무기가 되는가</t>
  </si>
  <si>
    <t>나의 하루는 4시 30분에 시작된다</t>
  </si>
  <si>
    <t>한 번의 퇴사, 열 번의 남미</t>
  </si>
  <si>
    <t>세상을 읽는 새로운 언어, 빅데이터</t>
  </si>
  <si>
    <t>당신만 모르는 인생을 바꾸는 대화법</t>
  </si>
  <si>
    <t>하버드 비즈니스 리뷰 가이드-2</t>
  </si>
  <si>
    <t>세계미래보고서 2035-2055</t>
  </si>
  <si>
    <t>하버드 100년 전통 말하기 수업</t>
  </si>
  <si>
    <t>JOBS EDITOR 좋아하는 것으로부터 좋은 것을 골라내는 사람</t>
  </si>
  <si>
    <t>트렌드코리아 2021</t>
  </si>
  <si>
    <t>2021 트렌드 노트</t>
  </si>
  <si>
    <t>마켓컬리 인사이트</t>
  </si>
  <si>
    <t>트렌드코리아 2020</t>
  </si>
  <si>
    <t>사소한 아이디어의 힘</t>
  </si>
  <si>
    <t>코로나 이후의 세계</t>
  </si>
  <si>
    <t>세대공존의 기술</t>
  </si>
  <si>
    <t>FACTFULNESS</t>
  </si>
  <si>
    <t>나의 첫 드론 스타팅</t>
  </si>
  <si>
    <t>지금 팔리는 것들의 비밀</t>
  </si>
  <si>
    <t>아이를 위한 돈의 감각</t>
  </si>
  <si>
    <t>도시는 무엇으로 사는가</t>
  </si>
  <si>
    <t>셰익스피어 4대비극 5대희극</t>
  </si>
  <si>
    <t>짜라투스트라는 이렇게 말했다</t>
  </si>
  <si>
    <t>제주,우리 안의 식민지</t>
  </si>
  <si>
    <t>나는 농담으로 과학을 말한다</t>
  </si>
  <si>
    <t>어떻게 원하는 것을 얻는가?</t>
  </si>
  <si>
    <t>동방견문록(서해클래식 2)</t>
  </si>
  <si>
    <t>이력서 첫줄부터 프리랜서</t>
  </si>
  <si>
    <t>유쾌한 이노베이션(신판)</t>
  </si>
  <si>
    <t>남자다움에 갇힌 남자들</t>
  </si>
  <si>
    <t>피터 드러커 자기경영노트</t>
  </si>
  <si>
    <t>블록체인 트렌드 2020</t>
  </si>
  <si>
    <t>김대식의 인간 vs 기계</t>
  </si>
  <si>
    <t>1.4킬로그램의 우주, 뇌</t>
  </si>
  <si>
    <t>퇴근길 인문학 수업-멈춤</t>
  </si>
  <si>
    <t>진실을 배반한 과학자들</t>
  </si>
  <si>
    <t>하버드 상위 1퍼센트의 비밀</t>
  </si>
  <si>
    <t>하고싶은대로 살아도 괜찮아</t>
  </si>
  <si>
    <t>모르면 불편한 돈의 교양</t>
  </si>
  <si>
    <t>당신은 체인지메이커입니까?</t>
  </si>
  <si>
    <t>퇴근길 인문학 수업-전환</t>
  </si>
  <si>
    <t>퇴근길 인문학 수업-전진</t>
  </si>
  <si>
    <t>퇴근길 인문학 수업-관계</t>
  </si>
  <si>
    <t>라이프 트렌드 2021</t>
  </si>
  <si>
    <t>문경수의 제주 과학 탐험</t>
  </si>
  <si>
    <t>제주는 그런 곳이 아니야</t>
  </si>
  <si>
    <t>퇴근길 인문학 수업-뉴노멀</t>
  </si>
  <si>
    <t>퇴근길 인문학 수업-연결</t>
  </si>
  <si>
    <t>질병이 바꾼 세계의 역사</t>
  </si>
  <si>
    <t>나는 왜 네 말이 힘들까?</t>
  </si>
  <si>
    <t>내가 처음 뇌를 열었을 때</t>
  </si>
  <si>
    <t>파이널 컷 프로 X: Final cut pro X 10.33</t>
  </si>
  <si>
    <t>규칙없음(넷플릭스,지구상 가장 빠르고 유연한 기업의 비밀)</t>
  </si>
  <si>
    <t>내리막 세상에서 일하는 노마드를 위한 안내서(리커버에디션)</t>
  </si>
  <si>
    <t>Save the cat!:모든 영화 시나리오에 숨겨진 비밀</t>
  </si>
  <si>
    <t>사계열 데이터베이스를 활용한 IoT 데이터 처리의 모든 것</t>
  </si>
  <si>
    <t>플렉스 FLEX 위기의 팀을 빠르게 혁신하는 유연함의 기술</t>
  </si>
  <si>
    <t>하버드 비즈니스 리뷰 멘탈 수업</t>
  </si>
  <si>
    <t>핀란드 사람들은 왜 중고가게에 갈까</t>
  </si>
  <si>
    <t>하버드 비즈니스 리뷰 가이드-1</t>
  </si>
  <si>
    <t>제주도 호텔리어의 그림판 일기</t>
  </si>
  <si>
    <t>직관적으로 펼쳐보는 컬러인쇄 가이드</t>
  </si>
  <si>
    <t>파타고니아, 파도가 칠 때는 서핑을</t>
  </si>
  <si>
    <t>하늘과 바람과 별과 시(1955 증보판+초판본+현대어판)</t>
  </si>
  <si>
    <t>[꾸러미]전략의 역사 1~2권 세트 전략의 역사.1</t>
  </si>
  <si>
    <t>[꾸러미]전략의 역사 1~2권 세트 전략의 역사.2</t>
  </si>
  <si>
    <t>합격사례 따라하면 성공하는 정부지원 사업계획서 작성법</t>
  </si>
  <si>
    <t>끌리는 말투 호감가는 말투</t>
  </si>
  <si>
    <t>장미의 이름 세트 1</t>
  </si>
  <si>
    <t>Do it! 첫 코딩</t>
  </si>
  <si>
    <t>타이탄의 지혜들</t>
  </si>
  <si>
    <t>장미의 이름 세트 2</t>
  </si>
  <si>
    <t>Node.js 교과서</t>
  </si>
  <si>
    <t>피, 땀, 픽셀</t>
  </si>
  <si>
    <t>시장을 풀어낸 수학자</t>
  </si>
  <si>
    <t>죽은 자의 집청소</t>
  </si>
  <si>
    <t>Uncontact</t>
  </si>
  <si>
    <t>미남당 사건 수첩</t>
  </si>
  <si>
    <t>예루살렘의 아이히만</t>
  </si>
  <si>
    <t>아주 작은 습관의 힘</t>
  </si>
  <si>
    <t>창의와혁신의시크릿 트리즈</t>
  </si>
  <si>
    <t>조직을 변화시키는 코칭문화</t>
  </si>
  <si>
    <t>최고의 팀은 무엇이 다른가</t>
  </si>
  <si>
    <t>디자인싱킹 for 컨셉노트</t>
  </si>
  <si>
    <t>맥킨지 문제 해결의 기술</t>
  </si>
  <si>
    <t>머물고 싶은 동네가 뜬다</t>
  </si>
  <si>
    <t>나 홀로 볼링(보급판)</t>
  </si>
  <si>
    <t>취향을 설계하는 곳, 츠타야</t>
  </si>
  <si>
    <t>당신의 가격은 틀렸습니다</t>
  </si>
  <si>
    <t>어떻게 민주주의는 무너지는가</t>
  </si>
  <si>
    <t>기적을 가져오는 6차산업</t>
  </si>
  <si>
    <t>필립 코틀러 마켓 5.0</t>
  </si>
  <si>
    <t>살면서 한번은 경제학 공부</t>
  </si>
  <si>
    <t>세상을 바꾼 과학 이야기</t>
  </si>
  <si>
    <t>제 왼편에 서지 말아주세요</t>
  </si>
  <si>
    <t>플랫폼 경제와 공짜 점심</t>
  </si>
  <si>
    <t>필립 코틀러의 마켓 4.0</t>
  </si>
  <si>
    <t>0.3초의 기적 감사의 힘</t>
  </si>
  <si>
    <t>메타인지, 생각의 기술</t>
  </si>
  <si>
    <t>빌 컨버세이션: 대담한 대담</t>
  </si>
  <si>
    <t>내면아이의 상처 치유하기</t>
  </si>
  <si>
    <t>뇌는 팩트에 끌리지 않는다</t>
  </si>
  <si>
    <t>마틴 셀리그만의 긍정심리학</t>
  </si>
  <si>
    <t>미움받을 용기 2(반양장)</t>
  </si>
  <si>
    <t>밀레니얼의 반격</t>
  </si>
  <si>
    <t>아이디어 불패의 법칙</t>
  </si>
  <si>
    <t>냉정한 이타주의자</t>
  </si>
  <si>
    <t>직장없는 시대가 온다</t>
  </si>
  <si>
    <t>더 퍼실리테이션</t>
  </si>
  <si>
    <t>라이프스타일을 팔다</t>
  </si>
  <si>
    <t>스마트 스토어 마케팅</t>
  </si>
  <si>
    <t>로지컬씽킹의 기술</t>
  </si>
  <si>
    <t>실천공동체 COP</t>
  </si>
  <si>
    <t>질문이 답을 바꾼다</t>
  </si>
  <si>
    <t>작은 도시 큰 기업</t>
  </si>
  <si>
    <t>디자인 씽킹 바이블</t>
  </si>
  <si>
    <t>뇌를 춤추게 하라</t>
  </si>
  <si>
    <t>퇴사준비생의 도쿄</t>
  </si>
  <si>
    <t>히말라야 도서관</t>
  </si>
  <si>
    <t>컨슈머 인사이트</t>
  </si>
  <si>
    <t>땀 흘리는 소설</t>
  </si>
  <si>
    <t>유튜브 레볼루션</t>
  </si>
  <si>
    <t>하버드 스트레스 수업</t>
  </si>
  <si>
    <t>죽음의 수용소에서</t>
  </si>
  <si>
    <t>하버드 인생학 특강</t>
  </si>
  <si>
    <t>프레임워크의 기술</t>
  </si>
  <si>
    <t>선량한 차별주의자</t>
  </si>
  <si>
    <t>혁신기업의 딜레마</t>
  </si>
  <si>
    <t>이반 일리치의 죽음</t>
  </si>
  <si>
    <t>그리스인 조르바</t>
  </si>
  <si>
    <t>영국 노동계급의 상황</t>
  </si>
  <si>
    <t>하늘과바람과별과시</t>
  </si>
  <si>
    <t>완역 정본 택리지</t>
  </si>
  <si>
    <t>세상의 모든 철학</t>
  </si>
  <si>
    <t>인생교과서 무함마드</t>
  </si>
  <si>
    <t>넛지</t>
  </si>
  <si>
    <t>성명</t>
  </si>
  <si>
    <t>맹자</t>
  </si>
  <si>
    <t>연번</t>
  </si>
  <si>
    <t>징비록</t>
  </si>
  <si>
    <t>기수</t>
  </si>
  <si>
    <t>군주론</t>
  </si>
  <si>
    <t>논어</t>
  </si>
  <si>
    <t>데미안</t>
  </si>
  <si>
    <t>도서명</t>
  </si>
  <si>
    <t>장자</t>
  </si>
  <si>
    <t>프리즘</t>
  </si>
  <si>
    <t>말센스</t>
  </si>
  <si>
    <t>당신의 뇌를 고칠 수 있다</t>
  </si>
  <si>
    <t>리액트를 다루는 기술 개정판</t>
  </si>
  <si>
    <t>웹디자인기능사 실기 기본서</t>
  </si>
  <si>
    <t>된다! 7일 실무 액셀</t>
  </si>
  <si>
    <t>하마터면 편하게 살뻔했다</t>
  </si>
  <si>
    <t>인크루서파이-통합의 기술</t>
  </si>
  <si>
    <t>권도균의 스타트업 경영수업</t>
  </si>
  <si>
    <t>지쳤거나 좋아하는게 없거나</t>
  </si>
  <si>
    <t>역사란 무엇인가</t>
  </si>
  <si>
    <t>플라톤의 국가론</t>
  </si>
  <si>
    <t>역사의 연구.1</t>
  </si>
  <si>
    <t>우린 너무 몰랐다</t>
  </si>
  <si>
    <t>초격차:리더의 질문</t>
  </si>
  <si>
    <t>역사의 연구.2</t>
  </si>
  <si>
    <t>고도를 기다리며</t>
  </si>
  <si>
    <t>불안하면지금시작하라</t>
  </si>
  <si>
    <t>70세 사망법안 가결</t>
  </si>
  <si>
    <t>모두를 위한 페미니즘</t>
  </si>
  <si>
    <t>뉴노멀 교양수업</t>
  </si>
  <si>
    <t>아웃워드 마인드셋</t>
  </si>
  <si>
    <t>공정하다는 착각</t>
  </si>
  <si>
    <t>안녕 소중한 사람</t>
  </si>
  <si>
    <t>12가지 인생의 법칙</t>
  </si>
  <si>
    <t>삼국지 세트(1)</t>
  </si>
  <si>
    <t>우리, 독립청춘</t>
  </si>
  <si>
    <t>하버드 협상강의</t>
  </si>
  <si>
    <t>삼국지 세트(2)</t>
  </si>
  <si>
    <t>삼국지 세트(3)</t>
  </si>
  <si>
    <t>삼국지 세트(4)</t>
  </si>
  <si>
    <t>우리, 독립출판</t>
  </si>
  <si>
    <t>하버드 감정 수업</t>
  </si>
  <si>
    <t>제가좀숫자에약해서</t>
  </si>
  <si>
    <t>삼국지 세트(6)</t>
  </si>
  <si>
    <t>우리회사 특허관리</t>
  </si>
  <si>
    <t>퇴사준비생의 런던</t>
  </si>
  <si>
    <t>삼국지 세트(10)</t>
  </si>
  <si>
    <t>삼국지 세트(8)</t>
  </si>
  <si>
    <t>직장인이여 회계하라</t>
  </si>
  <si>
    <t>삼국지 세트(5)</t>
  </si>
  <si>
    <t>삼국지 세트(9)</t>
  </si>
  <si>
    <t>나는 말하듯이 쓴다</t>
  </si>
  <si>
    <t>삼국지 세트(7)</t>
  </si>
  <si>
    <t>한 문장으로 말하라</t>
  </si>
  <si>
    <t>디스 레트로 라이프</t>
  </si>
  <si>
    <t>라이프스타일 도시</t>
  </si>
  <si>
    <t>로스팅 크래프트</t>
  </si>
  <si>
    <t>활기찬 도심 만들기</t>
  </si>
  <si>
    <t>플라스틱 없는 삶</t>
  </si>
  <si>
    <t>빌 캠벨, 실리콘밸리의 위대한 코치</t>
  </si>
  <si>
    <t>21세기를 위한 21가지 제안</t>
  </si>
  <si>
    <t>디자인 씽킹, 비즈니스를 혁신하다</t>
  </si>
  <si>
    <t>도쿄R부동산 이렇게 일 합니다</t>
  </si>
  <si>
    <t>나는 울 때마다 엄마 얼굴이 된다</t>
  </si>
  <si>
    <t>인문학, 라이프스타일을 제안하다</t>
  </si>
  <si>
    <t>뇌 과학이 인생에 필요한 순간</t>
  </si>
  <si>
    <t>하버드 첫 강의 시간관리 수업</t>
  </si>
  <si>
    <t>VUCA시대의 조직문화의 피어코칭</t>
  </si>
  <si>
    <t>존 맥스웰 리더십 불변의 법칙</t>
  </si>
  <si>
    <t>세계 최고의 여행기: 열하일기(하)</t>
  </si>
  <si>
    <t>오주석의 옛 그림 읽기의 즐거움.1</t>
  </si>
  <si>
    <t>나는 감이 아니라 데이터로 말한다</t>
  </si>
  <si>
    <t>제주신화,신화의 섬을 넘어서다</t>
  </si>
  <si>
    <t>왜 여성의 결정은 의심받을까?</t>
  </si>
  <si>
    <t>좋은 기업을 넘어 위대한 기업으로</t>
  </si>
  <si>
    <t>전쟁은 여자의 얼굴을 하지 않았다</t>
  </si>
  <si>
    <t>세계 최고의 여행기: 열하일기(상)</t>
  </si>
  <si>
    <t>나는 어른이 되어서도 가끔 울었다</t>
  </si>
  <si>
    <t>여자들은 자꾸 같은 질문을 받는다</t>
  </si>
  <si>
    <t>세계미래보고서 2021(포스트 코로나 특별편)</t>
  </si>
  <si>
    <t>나는 나로 살리고 했다(100만부기념클래식에디션)</t>
  </si>
  <si>
    <t>우리가 몰랐던 천연염색 꽃염색의 놀라운 비밀</t>
  </si>
  <si>
    <t>대한민국에서 제일 쉬운 7일 완성 재무제표 읽기</t>
  </si>
  <si>
    <t>십대가 알아야 할 인공지능과 4차산업혁명의 미래</t>
  </si>
  <si>
    <t>재무제표 모르면 주식투자 절대로 하지마라</t>
  </si>
  <si>
    <t>스물 아홉 생일, 1년 후 죽기로 결심했다</t>
  </si>
  <si>
    <t>Do it! HTML5+CSS+자바스크립트</t>
  </si>
  <si>
    <t>비전공자를 위한 이해할 수 있는 IT지식</t>
  </si>
  <si>
    <t>완전절친 TOEIC 스타트 LC+RC</t>
  </si>
  <si>
    <t>100년의 약속 행복한 경제를 말하다</t>
  </si>
  <si>
    <t>지적 대화를 위한 넓고 얕은 지식 1</t>
  </si>
  <si>
    <t>에듀윌 전산회계 1급 기출문제집 2021</t>
  </si>
  <si>
    <t>링크(21세기를 지배하는 네트워크 과학)</t>
  </si>
  <si>
    <t>명견만리: 인구, 경제, 북한, 의료 편</t>
  </si>
  <si>
    <t>꼭 읽어야 할 예술이론과 비평 40선</t>
  </si>
  <si>
    <t>직장이 없는 시대가 온다 Gigged</t>
  </si>
  <si>
    <t>책쟁이의 프레젠테이션 by 파워포인트</t>
  </si>
  <si>
    <t>나는 아이디어 하나로 사업을 시작했다</t>
  </si>
  <si>
    <t>따라하면 매출이 따라오는 sns 마케팅</t>
  </si>
  <si>
    <t>프리미어프로&amp;애프터이펙트 cc 2019</t>
  </si>
  <si>
    <t>또라이 질량 보존의 법칙에서 살아남기</t>
  </si>
  <si>
    <t>프리미어프로&amp;애프터이펙트cc 2019</t>
  </si>
  <si>
    <t>칼퇴근 4.0(일하는 방식의 혁명적 접근)</t>
  </si>
  <si>
    <t>명견만리: 윤리, 기술, 중국, 교육 편</t>
  </si>
  <si>
    <t>우리는 왜 이렇게 오래, 열심히 일하는가?</t>
  </si>
  <si>
    <t>실전게임 제작으로 배우는 언리얼 엔진4</t>
  </si>
  <si>
    <t>생활코딩! HTML+CSS+자바스크립트</t>
  </si>
  <si>
    <t>프로테스탄티즘의 윤리와 자본주의 정신</t>
  </si>
  <si>
    <t>지적 대화를 위한 넓고 얕은 지식 0</t>
  </si>
  <si>
    <t>빅체인지: 코로나19 이후 미래 시나리오</t>
  </si>
  <si>
    <t>한국이 열광할 세계 트렌드(2021)</t>
  </si>
  <si>
    <t>지적 대화를 위한 넓고 얕은 지식 2</t>
  </si>
  <si>
    <t>부장님은 내 기획서가 쓰레기라고 말했지</t>
  </si>
  <si>
    <t>기브앤테이크 Give and Take</t>
  </si>
  <si>
    <t>명견만리: 불평등, 병리, 금융, 지역 편</t>
  </si>
  <si>
    <t>디자인씽킹을 넘어 프로그래밍 씽킹으로</t>
  </si>
  <si>
    <t>명견만리: 정치, 생애, 직업, 탐구 편</t>
  </si>
  <si>
    <t>명견만리: 대전환, 청년, 기회, 신뢰 편</t>
  </si>
  <si>
    <t>월든(50만부 출간 기념 특별 한정판)</t>
  </si>
  <si>
    <t>마음챙김이 일상이 되면 달라지는 것들</t>
  </si>
  <si>
    <t>how to 맥킨지 문제 해결의 기술</t>
  </si>
  <si>
    <t>결국 해내는 사람들의 원칙(리커버 에디션)</t>
  </si>
  <si>
    <t>150년 하버드 글쓰기 비법(리커버)</t>
  </si>
  <si>
    <t>마틴 셀리그만의 플로리시 Flourish</t>
  </si>
  <si>
    <t>사소해서 물어보지 못했지만 궁금했던 이야기</t>
  </si>
  <si>
    <t>하버드 머스트 리드: 비즈니스 모델 혁신</t>
  </si>
  <si>
    <t>아Q정전</t>
  </si>
  <si>
    <t>목민심서</t>
  </si>
  <si>
    <t>삼국유사</t>
  </si>
  <si>
    <t>광장/구운몽</t>
  </si>
  <si>
    <t>제주어를 담다</t>
  </si>
  <si>
    <t>순이삼촌</t>
  </si>
  <si>
    <t>군중심리</t>
  </si>
  <si>
    <t>조선왕조실록</t>
  </si>
  <si>
    <t>사회계약론</t>
  </si>
  <si>
    <t>호모데우스</t>
  </si>
  <si>
    <t>앵무새 죽이기</t>
  </si>
  <si>
    <t>정의란무엇인가</t>
  </si>
  <si>
    <t>꿈의 해석</t>
  </si>
  <si>
    <t>혁명의 시대</t>
  </si>
  <si>
    <t>국부론 상</t>
  </si>
  <si>
    <t>사기열전 상</t>
  </si>
  <si>
    <t>청년쑨원</t>
  </si>
  <si>
    <t>삼국사기</t>
  </si>
  <si>
    <t>오리엔탈리즘</t>
  </si>
  <si>
    <t>조선상고사</t>
  </si>
  <si>
    <t>과학혁명의구조</t>
  </si>
  <si>
    <t>종의 기원</t>
  </si>
  <si>
    <t>국부론 하</t>
  </si>
  <si>
    <t>멋진 신세계</t>
  </si>
  <si>
    <t>리바이어던</t>
  </si>
  <si>
    <t>사피엔스</t>
  </si>
  <si>
    <t>미디어의 이해</t>
  </si>
  <si>
    <t>한라산의 눈물</t>
  </si>
  <si>
    <t>제주역사기행</t>
  </si>
  <si>
    <t>외로운 남자</t>
  </si>
  <si>
    <t>대여일자</t>
  </si>
  <si>
    <t>난중일기</t>
  </si>
  <si>
    <t>진이, 지니</t>
  </si>
  <si>
    <t>두번째 산</t>
  </si>
  <si>
    <t>유튜브의 신</t>
  </si>
  <si>
    <t>불평등의 세대</t>
  </si>
  <si>
    <t>센서티브</t>
  </si>
  <si>
    <t>큐레이션</t>
  </si>
  <si>
    <t>더 시스템</t>
  </si>
  <si>
    <t>습관의 디테일</t>
  </si>
  <si>
    <t>팩트의 감각</t>
  </si>
  <si>
    <t>부의 추월차선</t>
  </si>
  <si>
    <t>정년이 3</t>
  </si>
  <si>
    <t>마케터의 일</t>
  </si>
  <si>
    <t>공부의 미래</t>
  </si>
  <si>
    <t>1cm 다이빙</t>
  </si>
  <si>
    <t>트리즈씽킹</t>
  </si>
  <si>
    <t>줌인 러시아2</t>
  </si>
  <si>
    <t>당신이 옳다</t>
  </si>
  <si>
    <t>포지셔닝</t>
  </si>
  <si>
    <t>코스모스</t>
  </si>
  <si>
    <t>리밸런싱</t>
  </si>
  <si>
    <t>마음챙김의 시</t>
  </si>
  <si>
    <t>로컬전성시대</t>
  </si>
  <si>
    <t>펭수의 시대</t>
  </si>
  <si>
    <t>아비투스</t>
  </si>
  <si>
    <t>침묵의 봄</t>
  </si>
  <si>
    <t>피터 틸</t>
  </si>
  <si>
    <t>레버리지</t>
  </si>
  <si>
    <t>도시생활혁명</t>
  </si>
  <si>
    <t>다시, 책으로</t>
  </si>
  <si>
    <t>축적의 길</t>
  </si>
  <si>
    <t>이기적 유전자</t>
  </si>
  <si>
    <t>책만보는 바보</t>
  </si>
  <si>
    <t>생각의 쓰임</t>
  </si>
  <si>
    <t>여행의 이유</t>
  </si>
  <si>
    <t>번영의 역설</t>
  </si>
  <si>
    <t>왜 일하는가</t>
  </si>
  <si>
    <t>공간의 미래</t>
  </si>
  <si>
    <t>스토리노믹스</t>
  </si>
  <si>
    <t>마케팅원론</t>
  </si>
  <si>
    <t>게임 인류</t>
  </si>
  <si>
    <t>마인드셋</t>
  </si>
  <si>
    <t>역사의 쓸모</t>
  </si>
  <si>
    <t>SLACK</t>
  </si>
  <si>
    <t>존재의 심리학</t>
  </si>
  <si>
    <t>반란의 경제</t>
  </si>
  <si>
    <t>회색 인간</t>
  </si>
  <si>
    <t>싱크 어게인</t>
  </si>
  <si>
    <t>모두의 파이썬</t>
  </si>
  <si>
    <t>오리지널스</t>
  </si>
  <si>
    <t>유전자 임팩트</t>
  </si>
  <si>
    <t>에고라는 적</t>
  </si>
  <si>
    <t>질서 너머</t>
  </si>
  <si>
    <t>프리워커스</t>
  </si>
  <si>
    <t>어른의 어휘력</t>
  </si>
  <si>
    <t>이기적 감정</t>
  </si>
  <si>
    <t>화폐라는 짐승</t>
  </si>
  <si>
    <t>지적자본론</t>
  </si>
  <si>
    <t>휴먼카인드</t>
  </si>
  <si>
    <t>스토아 수업</t>
  </si>
  <si>
    <t>스타트업 펀딩</t>
  </si>
  <si>
    <t>아몬드-보급판</t>
  </si>
  <si>
    <t>어른의 말공부</t>
  </si>
  <si>
    <t>모션그래픽</t>
  </si>
  <si>
    <t>컬러의 말</t>
  </si>
  <si>
    <t>설렘을 팝니다</t>
  </si>
  <si>
    <t>미라클!</t>
  </si>
  <si>
    <t>골목길 자본론</t>
  </si>
  <si>
    <t>사피엔스</t>
    <phoneticPr fontId="1" type="noConversion"/>
  </si>
  <si>
    <t>도서명</t>
    <phoneticPr fontId="1" type="noConversion"/>
  </si>
  <si>
    <t>연번</t>
    <phoneticPr fontId="1" type="noConversion"/>
  </si>
  <si>
    <t>비고</t>
    <phoneticPr fontId="4" type="noConversion"/>
  </si>
  <si>
    <t>-</t>
  </si>
  <si>
    <t>TAM - T</t>
    <phoneticPr fontId="4" type="noConversion"/>
  </si>
  <si>
    <t>TAM - A</t>
    <phoneticPr fontId="4" type="noConversion"/>
  </si>
  <si>
    <t>TAM - M</t>
    <phoneticPr fontId="4" type="noConversion"/>
  </si>
  <si>
    <t>NA - N</t>
    <phoneticPr fontId="4" type="noConversion"/>
  </si>
  <si>
    <t>NA - A</t>
    <phoneticPr fontId="4" type="noConversion"/>
  </si>
  <si>
    <t>-</t>
    <phoneticPr fontId="4" type="noConversion"/>
  </si>
  <si>
    <t>대여 현황</t>
    <phoneticPr fontId="4" type="noConversion"/>
  </si>
  <si>
    <t>연번</t>
    <phoneticPr fontId="4" type="noConversion"/>
  </si>
  <si>
    <t>도서명</t>
    <phoneticPr fontId="4" type="noConversion"/>
  </si>
  <si>
    <t>기수</t>
    <phoneticPr fontId="4" type="noConversion"/>
  </si>
  <si>
    <t>성명</t>
    <phoneticPr fontId="4" type="noConversion"/>
  </si>
  <si>
    <t>대여일자</t>
    <phoneticPr fontId="4" type="noConversion"/>
  </si>
  <si>
    <r>
      <t>TAM-T</t>
    </r>
    <r>
      <rPr>
        <b/>
        <u/>
        <sz val="10"/>
        <color theme="1"/>
        <rFont val="맑은 고딕"/>
        <family val="2"/>
        <charset val="129"/>
      </rPr>
      <t>(1~110)</t>
    </r>
    <phoneticPr fontId="4" type="noConversion"/>
  </si>
  <si>
    <r>
      <t>TAM-A</t>
    </r>
    <r>
      <rPr>
        <b/>
        <u/>
        <sz val="10"/>
        <color theme="1"/>
        <rFont val="맑은 고딕"/>
        <family val="2"/>
        <charset val="129"/>
      </rPr>
      <t>(111~220)</t>
    </r>
    <phoneticPr fontId="4" type="noConversion"/>
  </si>
  <si>
    <r>
      <t>TAM-M</t>
    </r>
    <r>
      <rPr>
        <b/>
        <u/>
        <sz val="10"/>
        <color theme="1"/>
        <rFont val="맑은 고딕"/>
        <family val="2"/>
        <charset val="129"/>
      </rPr>
      <t>(221~330)</t>
    </r>
    <phoneticPr fontId="4" type="noConversion"/>
  </si>
  <si>
    <r>
      <t>NA-N</t>
    </r>
    <r>
      <rPr>
        <b/>
        <u/>
        <sz val="10"/>
        <color theme="1"/>
        <rFont val="맑은 고딕"/>
        <family val="2"/>
        <charset val="129"/>
      </rPr>
      <t>(331~440)</t>
    </r>
    <phoneticPr fontId="4" type="noConversion"/>
  </si>
  <si>
    <r>
      <t>NA-A</t>
    </r>
    <r>
      <rPr>
        <b/>
        <u/>
        <sz val="10"/>
        <color theme="1"/>
        <rFont val="맑은 고딕"/>
        <family val="2"/>
        <charset val="129"/>
      </rPr>
      <t>(441~546)</t>
    </r>
    <phoneticPr fontId="4" type="noConversion"/>
  </si>
  <si>
    <t>바로가기-&gt;</t>
    <phoneticPr fontId="4" type="noConversion"/>
  </si>
  <si>
    <t>대여현황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</si>
</sst>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rgb="FF000000"/>
      <name val="맑은 고딕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8"/>
      <name val="나눔명조"/>
      <family val="3"/>
      <charset val="129"/>
    </font>
    <font>
      <b/>
      <sz val="16"/>
      <color rgb="FF000000"/>
      <name val="맑은 고딕"/>
      <family val="2"/>
      <charset val="129"/>
    </font>
    <font>
      <b/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u/>
      <sz val="11"/>
      <color theme="10"/>
      <name val="맑은 고딕"/>
      <family val="2"/>
      <charset val="129"/>
    </font>
    <font>
      <b/>
      <u/>
      <sz val="20"/>
      <color theme="1"/>
      <name val="맑은 고딕"/>
      <family val="2"/>
      <charset val="129"/>
    </font>
    <font>
      <b/>
      <u/>
      <sz val="10"/>
      <color theme="1"/>
      <name val="맑은 고딕"/>
      <family val="2"/>
      <charset val="129"/>
    </font>
    <font>
      <b/>
      <sz val="11"/>
      <color rgb="FF000000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14" fontId="7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Border="1" applyAlignment="1">
      <alignment vertical="center"/>
    </xf>
    <xf numFmtId="0" fontId="9" fillId="3" borderId="7" xfId="1" applyFont="1" applyFill="1" applyBorder="1" applyAlignment="1">
      <alignment horizontal="center" vertical="center"/>
    </xf>
    <xf numFmtId="0" fontId="9" fillId="3" borderId="8" xfId="1" applyFont="1" applyFill="1" applyBorder="1" applyAlignment="1">
      <alignment horizontal="center" vertical="center"/>
    </xf>
    <xf numFmtId="0" fontId="9" fillId="3" borderId="9" xfId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4" borderId="7" xfId="1" applyFont="1" applyFill="1" applyBorder="1" applyAlignment="1">
      <alignment horizontal="center" vertical="center"/>
    </xf>
    <xf numFmtId="0" fontId="9" fillId="4" borderId="8" xfId="1" applyFont="1" applyFill="1" applyBorder="1" applyAlignment="1">
      <alignment horizontal="center" vertical="center"/>
    </xf>
    <xf numFmtId="0" fontId="9" fillId="4" borderId="9" xfId="1" applyFont="1" applyFill="1" applyBorder="1" applyAlignment="1">
      <alignment horizontal="center" vertical="center"/>
    </xf>
    <xf numFmtId="0" fontId="9" fillId="4" borderId="11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  <tableStyle name="Light Style 1 - Accent 1" table="0" count="7" xr9:uid="{00000000-0011-0000-FFFF-FFFF01000000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4FDCE-3AB4-7945-B745-B96232E95B9F}">
  <sheetPr codeName="Sheet1"/>
  <dimension ref="A1:R200"/>
  <sheetViews>
    <sheetView tabSelected="1" workbookViewId="0">
      <pane ySplit="4" topLeftCell="A5" activePane="bottomLeft" state="frozen"/>
      <selection pane="bottomLeft" sqref="A1:F2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5" customHeight="1">
      <c r="A1" s="45" t="s">
        <v>375</v>
      </c>
      <c r="B1" s="46"/>
      <c r="C1" s="46"/>
      <c r="D1" s="46"/>
      <c r="E1" s="46"/>
      <c r="F1" s="47"/>
      <c r="G1" s="24" t="s">
        <v>386</v>
      </c>
      <c r="H1" s="26" t="s">
        <v>381</v>
      </c>
      <c r="I1" s="27"/>
      <c r="J1" s="26" t="s">
        <v>382</v>
      </c>
      <c r="K1" s="27"/>
      <c r="L1" s="30" t="s">
        <v>383</v>
      </c>
      <c r="M1" s="31"/>
      <c r="N1" s="1"/>
      <c r="O1" s="30" t="s">
        <v>384</v>
      </c>
      <c r="P1" s="31"/>
      <c r="Q1" s="30" t="s">
        <v>385</v>
      </c>
      <c r="R1" s="31"/>
    </row>
    <row r="2" spans="1:18" ht="18" customHeight="1" thickBot="1">
      <c r="A2" s="48"/>
      <c r="B2" s="49"/>
      <c r="C2" s="49"/>
      <c r="D2" s="49"/>
      <c r="E2" s="49"/>
      <c r="F2" s="50"/>
      <c r="G2" s="1"/>
      <c r="H2" s="28"/>
      <c r="I2" s="29"/>
      <c r="J2" s="28"/>
      <c r="K2" s="29"/>
      <c r="L2" s="32"/>
      <c r="M2" s="33"/>
      <c r="N2" s="1"/>
      <c r="O2" s="32"/>
      <c r="P2" s="33"/>
      <c r="Q2" s="32"/>
      <c r="R2" s="33"/>
    </row>
    <row r="3" spans="1:18">
      <c r="A3" s="34" t="s">
        <v>376</v>
      </c>
      <c r="B3" s="34" t="s">
        <v>377</v>
      </c>
      <c r="C3" s="34" t="s">
        <v>378</v>
      </c>
      <c r="D3" s="34" t="s">
        <v>379</v>
      </c>
      <c r="E3" s="36" t="s">
        <v>380</v>
      </c>
      <c r="F3" s="34" t="s">
        <v>367</v>
      </c>
    </row>
    <row r="4" spans="1:18">
      <c r="A4" s="35"/>
      <c r="B4" s="35"/>
      <c r="C4" s="35"/>
      <c r="D4" s="35"/>
      <c r="E4" s="37"/>
      <c r="F4" s="35"/>
    </row>
    <row r="5" spans="1:18" ht="18" customHeight="1">
      <c r="A5" s="20"/>
      <c r="B5" s="21"/>
      <c r="C5" s="20"/>
      <c r="D5" s="20"/>
      <c r="E5" s="22"/>
      <c r="F5" s="20" t="s">
        <v>368</v>
      </c>
      <c r="H5" s="25"/>
      <c r="I5" s="25"/>
      <c r="J5" s="25"/>
      <c r="K5" s="25"/>
      <c r="L5" s="25"/>
      <c r="M5" s="25"/>
    </row>
    <row r="6" spans="1:18" ht="18" customHeight="1">
      <c r="A6" s="20"/>
      <c r="B6" s="21"/>
      <c r="C6" s="20"/>
      <c r="D6" s="20"/>
      <c r="E6" s="22"/>
      <c r="F6" s="20" t="s">
        <v>368</v>
      </c>
      <c r="H6" s="25"/>
      <c r="I6" s="25"/>
      <c r="J6" s="25"/>
      <c r="K6" s="25"/>
      <c r="L6" s="25"/>
      <c r="M6" s="25"/>
    </row>
    <row r="7" spans="1:18" ht="18" customHeight="1">
      <c r="A7" s="20"/>
      <c r="B7" s="21"/>
      <c r="C7" s="20"/>
      <c r="D7" s="20"/>
      <c r="E7" s="22"/>
      <c r="F7" s="20" t="s">
        <v>368</v>
      </c>
      <c r="H7" s="25"/>
      <c r="I7" s="25"/>
      <c r="J7" s="25"/>
      <c r="K7" s="25"/>
      <c r="L7" s="25"/>
      <c r="M7" s="25"/>
    </row>
    <row r="8" spans="1:18" ht="18" customHeight="1">
      <c r="A8" s="20"/>
      <c r="B8" s="21"/>
      <c r="C8" s="20"/>
      <c r="D8" s="20"/>
      <c r="E8" s="22"/>
      <c r="F8" s="20" t="s">
        <v>368</v>
      </c>
      <c r="H8" s="25"/>
      <c r="I8" s="25"/>
      <c r="J8" s="25"/>
      <c r="K8" s="25"/>
      <c r="L8" s="25"/>
      <c r="M8" s="25"/>
    </row>
    <row r="9" spans="1:18" ht="18" customHeight="1">
      <c r="A9" s="20"/>
      <c r="B9" s="21"/>
      <c r="C9" s="20"/>
      <c r="D9" s="20"/>
      <c r="E9" s="22"/>
      <c r="F9" s="20" t="s">
        <v>368</v>
      </c>
      <c r="H9" s="25"/>
      <c r="I9" s="25"/>
      <c r="J9" s="25"/>
      <c r="K9" s="25"/>
      <c r="L9" s="25"/>
      <c r="M9" s="25"/>
    </row>
    <row r="10" spans="1:18" ht="18" customHeight="1">
      <c r="A10" s="20"/>
      <c r="B10" s="21"/>
      <c r="C10" s="20"/>
      <c r="D10" s="20"/>
      <c r="E10" s="22"/>
      <c r="F10" s="20" t="s">
        <v>374</v>
      </c>
      <c r="H10" s="25"/>
      <c r="I10" s="25"/>
      <c r="J10" s="25"/>
      <c r="K10" s="25"/>
      <c r="L10" s="25"/>
      <c r="M10" s="25"/>
    </row>
    <row r="11" spans="1:18" ht="17" customHeight="1">
      <c r="A11" s="20"/>
      <c r="B11" s="21"/>
      <c r="C11" s="20"/>
      <c r="D11" s="20"/>
      <c r="E11" s="22"/>
      <c r="F11" s="20" t="s">
        <v>374</v>
      </c>
      <c r="H11" s="25"/>
      <c r="I11" s="25"/>
      <c r="J11" s="25"/>
      <c r="K11" s="25"/>
      <c r="L11" s="25"/>
      <c r="M11" s="25"/>
    </row>
    <row r="12" spans="1:18" ht="18" customHeight="1">
      <c r="A12" s="20"/>
      <c r="B12" s="21"/>
      <c r="C12" s="20"/>
      <c r="D12" s="20"/>
      <c r="E12" s="22"/>
      <c r="F12" s="20" t="s">
        <v>374</v>
      </c>
      <c r="H12" s="25"/>
      <c r="I12" s="25"/>
      <c r="J12" s="25"/>
      <c r="K12" s="25"/>
      <c r="L12" s="25"/>
      <c r="M12" s="25"/>
    </row>
    <row r="13" spans="1:18">
      <c r="A13" s="20"/>
      <c r="B13" s="21"/>
      <c r="C13" s="20"/>
      <c r="D13" s="20"/>
      <c r="E13" s="22"/>
      <c r="F13" s="20" t="s">
        <v>374</v>
      </c>
      <c r="H13" s="25"/>
      <c r="I13" s="25"/>
      <c r="J13" s="25"/>
      <c r="K13" s="25"/>
      <c r="L13" s="25"/>
      <c r="M13" s="25"/>
    </row>
    <row r="14" spans="1:18">
      <c r="A14" s="20"/>
      <c r="B14" s="21"/>
      <c r="C14" s="20"/>
      <c r="D14" s="20"/>
      <c r="E14" s="22"/>
      <c r="F14" s="20" t="s">
        <v>374</v>
      </c>
      <c r="H14" s="25"/>
      <c r="I14" s="25"/>
      <c r="J14" s="25"/>
      <c r="K14" s="25"/>
      <c r="L14" s="25"/>
      <c r="M14" s="25"/>
    </row>
    <row r="15" spans="1:18">
      <c r="A15" s="20"/>
      <c r="B15" s="21"/>
      <c r="C15" s="20"/>
      <c r="D15" s="20"/>
      <c r="E15" s="22"/>
      <c r="F15" s="20" t="s">
        <v>374</v>
      </c>
    </row>
    <row r="16" spans="1:18">
      <c r="A16" s="20"/>
      <c r="B16" s="21"/>
      <c r="C16" s="20"/>
      <c r="D16" s="20"/>
      <c r="E16" s="22"/>
      <c r="F16" s="20" t="s">
        <v>374</v>
      </c>
    </row>
    <row r="17" spans="1:11">
      <c r="A17" s="20"/>
      <c r="B17" s="21"/>
      <c r="C17" s="20"/>
      <c r="D17" s="20"/>
      <c r="E17" s="22"/>
      <c r="F17" s="20" t="s">
        <v>374</v>
      </c>
    </row>
    <row r="18" spans="1:11" ht="18" customHeight="1">
      <c r="A18" s="20"/>
      <c r="B18" s="21"/>
      <c r="C18" s="20"/>
      <c r="D18" s="20"/>
      <c r="E18" s="22"/>
      <c r="F18" s="20" t="s">
        <v>374</v>
      </c>
    </row>
    <row r="19" spans="1:11" ht="18" customHeight="1">
      <c r="A19" s="20"/>
      <c r="B19" s="21"/>
      <c r="C19" s="20"/>
      <c r="D19" s="20"/>
      <c r="E19" s="22"/>
      <c r="F19" s="20" t="s">
        <v>374</v>
      </c>
    </row>
    <row r="20" spans="1:11" ht="18" customHeight="1">
      <c r="A20" s="23"/>
      <c r="B20" s="21"/>
      <c r="C20" s="20"/>
      <c r="D20" s="20"/>
      <c r="E20" s="22"/>
      <c r="F20" s="20" t="s">
        <v>374</v>
      </c>
    </row>
    <row r="21" spans="1:11" ht="18" customHeight="1">
      <c r="A21" s="20"/>
      <c r="B21" s="21"/>
      <c r="C21" s="20"/>
      <c r="D21" s="20"/>
      <c r="E21" s="22"/>
      <c r="F21" s="20" t="s">
        <v>374</v>
      </c>
    </row>
    <row r="22" spans="1:11" ht="18" customHeight="1">
      <c r="A22" s="20"/>
      <c r="B22" s="21"/>
      <c r="C22" s="20"/>
      <c r="D22" s="20"/>
      <c r="E22" s="22"/>
      <c r="F22" s="20" t="s">
        <v>374</v>
      </c>
    </row>
    <row r="23" spans="1:11" ht="18" customHeight="1">
      <c r="A23" s="20"/>
      <c r="B23" s="21"/>
      <c r="C23" s="20"/>
      <c r="D23" s="20"/>
      <c r="E23" s="22"/>
      <c r="F23" s="20" t="s">
        <v>374</v>
      </c>
      <c r="K23" s="8"/>
    </row>
    <row r="24" spans="1:11" ht="17" customHeight="1">
      <c r="A24" s="20"/>
      <c r="B24" s="21"/>
      <c r="C24" s="20"/>
      <c r="D24" s="20"/>
      <c r="E24" s="22"/>
      <c r="F24" s="20" t="s">
        <v>374</v>
      </c>
    </row>
    <row r="25" spans="1:11" ht="18" customHeight="1">
      <c r="A25" s="20"/>
      <c r="B25" s="21"/>
      <c r="C25" s="20"/>
      <c r="D25" s="20"/>
      <c r="E25" s="22"/>
      <c r="F25" s="20" t="s">
        <v>374</v>
      </c>
    </row>
    <row r="26" spans="1:11">
      <c r="A26" s="20"/>
      <c r="B26" s="21"/>
      <c r="C26" s="20"/>
      <c r="D26" s="20"/>
      <c r="E26" s="22"/>
      <c r="F26" s="20" t="s">
        <v>374</v>
      </c>
    </row>
    <row r="27" spans="1:11">
      <c r="A27" s="20"/>
      <c r="B27" s="21"/>
      <c r="C27" s="20"/>
      <c r="D27" s="20"/>
      <c r="E27" s="22"/>
      <c r="F27" s="20" t="s">
        <v>374</v>
      </c>
    </row>
    <row r="28" spans="1:11">
      <c r="A28" s="20"/>
      <c r="B28" s="21"/>
      <c r="C28" s="20"/>
      <c r="D28" s="20"/>
      <c r="E28" s="22"/>
      <c r="F28" s="20" t="s">
        <v>374</v>
      </c>
    </row>
    <row r="29" spans="1:11">
      <c r="A29" s="20"/>
      <c r="B29" s="21"/>
      <c r="C29" s="20"/>
      <c r="D29" s="20"/>
      <c r="E29" s="22"/>
      <c r="F29" s="20" t="s">
        <v>374</v>
      </c>
    </row>
    <row r="30" spans="1:11">
      <c r="A30" s="20"/>
      <c r="B30" s="21"/>
      <c r="C30" s="20"/>
      <c r="D30" s="20"/>
      <c r="E30" s="22"/>
      <c r="F30" s="20" t="s">
        <v>374</v>
      </c>
    </row>
    <row r="31" spans="1:11">
      <c r="A31" s="20"/>
      <c r="B31" s="21"/>
      <c r="C31" s="20"/>
      <c r="D31" s="20"/>
      <c r="E31" s="22"/>
      <c r="F31" s="20" t="s">
        <v>374</v>
      </c>
    </row>
    <row r="32" spans="1:11">
      <c r="A32" s="20"/>
      <c r="B32" s="21"/>
      <c r="C32" s="20"/>
      <c r="D32" s="20"/>
      <c r="E32" s="22"/>
      <c r="F32" s="20" t="s">
        <v>374</v>
      </c>
    </row>
    <row r="33" spans="1:6">
      <c r="A33" s="20"/>
      <c r="B33" s="21"/>
      <c r="C33" s="20"/>
      <c r="D33" s="20"/>
      <c r="E33" s="22"/>
      <c r="F33" s="20" t="s">
        <v>374</v>
      </c>
    </row>
    <row r="34" spans="1:6">
      <c r="A34" s="20"/>
      <c r="B34" s="21"/>
      <c r="C34" s="20"/>
      <c r="D34" s="20"/>
      <c r="E34" s="22"/>
      <c r="F34" s="20" t="s">
        <v>374</v>
      </c>
    </row>
    <row r="35" spans="1:6">
      <c r="A35" s="20"/>
      <c r="B35" s="21"/>
      <c r="C35" s="20"/>
      <c r="D35" s="20"/>
      <c r="E35" s="22"/>
      <c r="F35" s="20" t="s">
        <v>374</v>
      </c>
    </row>
    <row r="36" spans="1:6">
      <c r="A36" s="20"/>
      <c r="B36" s="21"/>
      <c r="C36" s="20"/>
      <c r="D36" s="20"/>
      <c r="E36" s="22"/>
      <c r="F36" s="20" t="s">
        <v>374</v>
      </c>
    </row>
    <row r="37" spans="1:6">
      <c r="A37" s="20"/>
      <c r="B37" s="21"/>
      <c r="C37" s="20"/>
      <c r="D37" s="20"/>
      <c r="E37" s="22"/>
      <c r="F37" s="20" t="s">
        <v>374</v>
      </c>
    </row>
    <row r="38" spans="1:6">
      <c r="A38" s="20"/>
      <c r="B38" s="21"/>
      <c r="C38" s="20"/>
      <c r="D38" s="20"/>
      <c r="E38" s="22"/>
      <c r="F38" s="20" t="s">
        <v>374</v>
      </c>
    </row>
    <row r="39" spans="1:6">
      <c r="A39" s="20"/>
      <c r="B39" s="21"/>
      <c r="C39" s="20"/>
      <c r="D39" s="20"/>
      <c r="E39" s="22"/>
      <c r="F39" s="20" t="s">
        <v>374</v>
      </c>
    </row>
    <row r="40" spans="1:6">
      <c r="A40" s="20"/>
      <c r="B40" s="21"/>
      <c r="C40" s="20"/>
      <c r="D40" s="20"/>
      <c r="E40" s="22"/>
      <c r="F40" s="20" t="s">
        <v>374</v>
      </c>
    </row>
    <row r="41" spans="1:6">
      <c r="A41" s="20"/>
      <c r="B41" s="21"/>
      <c r="C41" s="20"/>
      <c r="D41" s="20"/>
      <c r="E41" s="22"/>
      <c r="F41" s="20" t="s">
        <v>374</v>
      </c>
    </row>
    <row r="42" spans="1:6">
      <c r="A42" s="20"/>
      <c r="B42" s="21"/>
      <c r="C42" s="20"/>
      <c r="D42" s="20"/>
      <c r="E42" s="22"/>
      <c r="F42" s="20" t="s">
        <v>374</v>
      </c>
    </row>
    <row r="43" spans="1:6">
      <c r="A43" s="20"/>
      <c r="B43" s="21"/>
      <c r="C43" s="20"/>
      <c r="D43" s="20"/>
      <c r="E43" s="22"/>
      <c r="F43" s="20" t="s">
        <v>374</v>
      </c>
    </row>
    <row r="44" spans="1:6">
      <c r="A44" s="20"/>
      <c r="B44" s="21"/>
      <c r="C44" s="20"/>
      <c r="D44" s="20"/>
      <c r="E44" s="22"/>
      <c r="F44" s="20" t="s">
        <v>374</v>
      </c>
    </row>
    <row r="45" spans="1:6">
      <c r="A45" s="20"/>
      <c r="B45" s="21"/>
      <c r="C45" s="20"/>
      <c r="D45" s="20"/>
      <c r="E45" s="22"/>
      <c r="F45" s="20" t="s">
        <v>374</v>
      </c>
    </row>
    <row r="46" spans="1:6">
      <c r="A46" s="20"/>
      <c r="B46" s="21"/>
      <c r="C46" s="20"/>
      <c r="D46" s="20"/>
      <c r="E46" s="22"/>
      <c r="F46" s="20" t="s">
        <v>374</v>
      </c>
    </row>
    <row r="47" spans="1:6">
      <c r="A47" s="20"/>
      <c r="B47" s="21"/>
      <c r="C47" s="20"/>
      <c r="D47" s="20"/>
      <c r="E47" s="22"/>
      <c r="F47" s="20" t="s">
        <v>374</v>
      </c>
    </row>
    <row r="48" spans="1:6">
      <c r="A48" s="20"/>
      <c r="B48" s="21"/>
      <c r="C48" s="20"/>
      <c r="D48" s="20"/>
      <c r="E48" s="22"/>
      <c r="F48" s="20" t="s">
        <v>374</v>
      </c>
    </row>
    <row r="49" spans="1:6">
      <c r="A49" s="20"/>
      <c r="B49" s="21"/>
      <c r="C49" s="20"/>
      <c r="D49" s="20"/>
      <c r="E49" s="22"/>
      <c r="F49" s="20" t="s">
        <v>374</v>
      </c>
    </row>
    <row r="50" spans="1:6">
      <c r="A50" s="20"/>
      <c r="B50" s="21"/>
      <c r="C50" s="20"/>
      <c r="D50" s="20"/>
      <c r="E50" s="22"/>
      <c r="F50" s="20" t="s">
        <v>374</v>
      </c>
    </row>
    <row r="51" spans="1:6">
      <c r="A51" s="20"/>
      <c r="B51" s="21"/>
      <c r="C51" s="20"/>
      <c r="D51" s="20"/>
      <c r="E51" s="22"/>
      <c r="F51" s="20" t="s">
        <v>374</v>
      </c>
    </row>
    <row r="52" spans="1:6">
      <c r="A52" s="20"/>
      <c r="B52" s="21"/>
      <c r="C52" s="20"/>
      <c r="D52" s="20"/>
      <c r="E52" s="22"/>
      <c r="F52" s="20" t="s">
        <v>374</v>
      </c>
    </row>
    <row r="53" spans="1:6">
      <c r="A53" s="20"/>
      <c r="B53" s="21"/>
      <c r="C53" s="20"/>
      <c r="D53" s="20"/>
      <c r="E53" s="22"/>
      <c r="F53" s="20" t="s">
        <v>374</v>
      </c>
    </row>
    <row r="54" spans="1:6">
      <c r="A54" s="20"/>
      <c r="B54" s="21"/>
      <c r="C54" s="20"/>
      <c r="D54" s="20"/>
      <c r="E54" s="22"/>
      <c r="F54" s="20" t="s">
        <v>374</v>
      </c>
    </row>
    <row r="55" spans="1:6">
      <c r="A55" s="20"/>
      <c r="B55" s="21"/>
      <c r="C55" s="20"/>
      <c r="D55" s="20"/>
      <c r="E55" s="22"/>
      <c r="F55" s="20" t="s">
        <v>374</v>
      </c>
    </row>
    <row r="56" spans="1:6">
      <c r="A56" s="20"/>
      <c r="B56" s="21"/>
      <c r="C56" s="20"/>
      <c r="D56" s="20"/>
      <c r="E56" s="22"/>
      <c r="F56" s="20" t="s">
        <v>374</v>
      </c>
    </row>
    <row r="57" spans="1:6">
      <c r="A57" s="20"/>
      <c r="B57" s="21"/>
      <c r="C57" s="20"/>
      <c r="D57" s="20"/>
      <c r="E57" s="22"/>
      <c r="F57" s="20" t="s">
        <v>374</v>
      </c>
    </row>
    <row r="58" spans="1:6">
      <c r="A58" s="20"/>
      <c r="B58" s="21"/>
      <c r="C58" s="20"/>
      <c r="D58" s="20"/>
      <c r="E58" s="22"/>
      <c r="F58" s="20" t="s">
        <v>374</v>
      </c>
    </row>
    <row r="59" spans="1:6">
      <c r="A59" s="20"/>
      <c r="B59" s="21"/>
      <c r="C59" s="20"/>
      <c r="D59" s="20"/>
      <c r="E59" s="22"/>
      <c r="F59" s="20" t="s">
        <v>374</v>
      </c>
    </row>
    <row r="60" spans="1:6">
      <c r="A60" s="20"/>
      <c r="B60" s="21"/>
      <c r="C60" s="20"/>
      <c r="D60" s="20"/>
      <c r="E60" s="22"/>
      <c r="F60" s="20" t="s">
        <v>374</v>
      </c>
    </row>
    <row r="61" spans="1:6">
      <c r="A61" s="20"/>
      <c r="B61" s="21"/>
      <c r="C61" s="20"/>
      <c r="D61" s="20"/>
      <c r="E61" s="22"/>
      <c r="F61" s="20" t="s">
        <v>374</v>
      </c>
    </row>
    <row r="62" spans="1:6">
      <c r="A62" s="20"/>
      <c r="B62" s="21"/>
      <c r="C62" s="20"/>
      <c r="D62" s="20"/>
      <c r="E62" s="22"/>
      <c r="F62" s="20" t="s">
        <v>374</v>
      </c>
    </row>
    <row r="63" spans="1:6">
      <c r="A63" s="20"/>
      <c r="B63" s="21"/>
      <c r="C63" s="20"/>
      <c r="D63" s="20"/>
      <c r="E63" s="22"/>
      <c r="F63" s="20" t="s">
        <v>374</v>
      </c>
    </row>
    <row r="64" spans="1:6">
      <c r="A64" s="20"/>
      <c r="B64" s="21"/>
      <c r="C64" s="20"/>
      <c r="D64" s="20"/>
      <c r="E64" s="22"/>
      <c r="F64" s="20" t="s">
        <v>374</v>
      </c>
    </row>
    <row r="65" spans="1:6">
      <c r="A65" s="20"/>
      <c r="B65" s="21"/>
      <c r="C65" s="20"/>
      <c r="D65" s="20"/>
      <c r="E65" s="22"/>
      <c r="F65" s="20" t="s">
        <v>374</v>
      </c>
    </row>
    <row r="66" spans="1:6">
      <c r="A66" s="20"/>
      <c r="B66" s="21"/>
      <c r="C66" s="20"/>
      <c r="D66" s="20"/>
      <c r="E66" s="22"/>
      <c r="F66" s="20" t="s">
        <v>374</v>
      </c>
    </row>
    <row r="67" spans="1:6">
      <c r="A67" s="20"/>
      <c r="B67" s="21"/>
      <c r="C67" s="20"/>
      <c r="D67" s="20"/>
      <c r="E67" s="22"/>
      <c r="F67" s="20" t="s">
        <v>374</v>
      </c>
    </row>
    <row r="68" spans="1:6">
      <c r="A68" s="20"/>
      <c r="B68" s="21"/>
      <c r="C68" s="20"/>
      <c r="D68" s="20"/>
      <c r="E68" s="22"/>
      <c r="F68" s="20" t="s">
        <v>374</v>
      </c>
    </row>
    <row r="69" spans="1:6">
      <c r="A69" s="20"/>
      <c r="B69" s="21"/>
      <c r="C69" s="20"/>
      <c r="D69" s="20"/>
      <c r="E69" s="22"/>
      <c r="F69" s="20" t="s">
        <v>374</v>
      </c>
    </row>
    <row r="70" spans="1:6">
      <c r="A70" s="20"/>
      <c r="B70" s="21"/>
      <c r="C70" s="20"/>
      <c r="D70" s="20"/>
      <c r="E70" s="22"/>
      <c r="F70" s="20" t="s">
        <v>374</v>
      </c>
    </row>
    <row r="71" spans="1:6">
      <c r="A71" s="20"/>
      <c r="B71" s="21"/>
      <c r="C71" s="20"/>
      <c r="D71" s="20"/>
      <c r="E71" s="22"/>
      <c r="F71" s="20" t="s">
        <v>374</v>
      </c>
    </row>
    <row r="72" spans="1:6">
      <c r="A72" s="20"/>
      <c r="B72" s="21"/>
      <c r="C72" s="20"/>
      <c r="D72" s="20"/>
      <c r="E72" s="22"/>
      <c r="F72" s="20" t="s">
        <v>374</v>
      </c>
    </row>
    <row r="73" spans="1:6">
      <c r="A73" s="20"/>
      <c r="B73" s="21"/>
      <c r="C73" s="20"/>
      <c r="D73" s="20"/>
      <c r="E73" s="22"/>
      <c r="F73" s="20" t="s">
        <v>374</v>
      </c>
    </row>
    <row r="74" spans="1:6">
      <c r="A74" s="20"/>
      <c r="B74" s="21"/>
      <c r="C74" s="20"/>
      <c r="D74" s="20"/>
      <c r="E74" s="22"/>
      <c r="F74" s="20" t="s">
        <v>374</v>
      </c>
    </row>
    <row r="75" spans="1:6">
      <c r="A75" s="20"/>
      <c r="B75" s="21"/>
      <c r="C75" s="20"/>
      <c r="D75" s="20"/>
      <c r="E75" s="22"/>
      <c r="F75" s="20" t="s">
        <v>374</v>
      </c>
    </row>
    <row r="76" spans="1:6">
      <c r="A76" s="20"/>
      <c r="B76" s="21"/>
      <c r="C76" s="20"/>
      <c r="D76" s="20"/>
      <c r="E76" s="22"/>
      <c r="F76" s="20" t="s">
        <v>374</v>
      </c>
    </row>
    <row r="77" spans="1:6">
      <c r="A77" s="20"/>
      <c r="B77" s="21"/>
      <c r="C77" s="20"/>
      <c r="D77" s="20"/>
      <c r="E77" s="22"/>
      <c r="F77" s="20" t="s">
        <v>374</v>
      </c>
    </row>
    <row r="78" spans="1:6">
      <c r="A78" s="20"/>
      <c r="B78" s="21"/>
      <c r="C78" s="20"/>
      <c r="D78" s="20"/>
      <c r="E78" s="22"/>
      <c r="F78" s="20" t="s">
        <v>374</v>
      </c>
    </row>
    <row r="79" spans="1:6">
      <c r="A79" s="20"/>
      <c r="B79" s="21"/>
      <c r="C79" s="20"/>
      <c r="D79" s="20"/>
      <c r="E79" s="22"/>
      <c r="F79" s="20" t="s">
        <v>374</v>
      </c>
    </row>
    <row r="80" spans="1:6">
      <c r="A80" s="20"/>
      <c r="B80" s="21"/>
      <c r="C80" s="20"/>
      <c r="D80" s="20"/>
      <c r="E80" s="22"/>
      <c r="F80" s="20" t="s">
        <v>374</v>
      </c>
    </row>
    <row r="81" spans="1:6">
      <c r="A81" s="20"/>
      <c r="B81" s="21"/>
      <c r="C81" s="20"/>
      <c r="D81" s="20"/>
      <c r="E81" s="22"/>
      <c r="F81" s="20" t="s">
        <v>374</v>
      </c>
    </row>
    <row r="82" spans="1:6">
      <c r="A82" s="20"/>
      <c r="B82" s="21"/>
      <c r="C82" s="20"/>
      <c r="D82" s="20"/>
      <c r="E82" s="22"/>
      <c r="F82" s="20" t="s">
        <v>374</v>
      </c>
    </row>
    <row r="83" spans="1:6">
      <c r="A83" s="20"/>
      <c r="B83" s="21"/>
      <c r="C83" s="20"/>
      <c r="D83" s="20"/>
      <c r="E83" s="22"/>
      <c r="F83" s="20" t="s">
        <v>374</v>
      </c>
    </row>
    <row r="84" spans="1:6">
      <c r="A84" s="20"/>
      <c r="B84" s="21"/>
      <c r="C84" s="20"/>
      <c r="D84" s="20"/>
      <c r="E84" s="22"/>
      <c r="F84" s="20" t="s">
        <v>374</v>
      </c>
    </row>
    <row r="85" spans="1:6">
      <c r="A85" s="20"/>
      <c r="B85" s="21"/>
      <c r="C85" s="20"/>
      <c r="D85" s="20"/>
      <c r="E85" s="22"/>
      <c r="F85" s="20" t="s">
        <v>374</v>
      </c>
    </row>
    <row r="86" spans="1:6">
      <c r="A86" s="20"/>
      <c r="B86" s="21"/>
      <c r="C86" s="20"/>
      <c r="D86" s="20"/>
      <c r="E86" s="22"/>
      <c r="F86" s="20" t="s">
        <v>374</v>
      </c>
    </row>
    <row r="87" spans="1:6">
      <c r="A87" s="20"/>
      <c r="B87" s="21"/>
      <c r="C87" s="20"/>
      <c r="D87" s="20"/>
      <c r="E87" s="22"/>
      <c r="F87" s="20" t="s">
        <v>374</v>
      </c>
    </row>
    <row r="88" spans="1:6">
      <c r="A88" s="20"/>
      <c r="B88" s="21"/>
      <c r="C88" s="20"/>
      <c r="D88" s="20"/>
      <c r="E88" s="22"/>
      <c r="F88" s="20" t="s">
        <v>374</v>
      </c>
    </row>
    <row r="89" spans="1:6">
      <c r="A89" s="20"/>
      <c r="B89" s="21"/>
      <c r="C89" s="20"/>
      <c r="D89" s="20"/>
      <c r="E89" s="22"/>
      <c r="F89" s="20" t="s">
        <v>374</v>
      </c>
    </row>
    <row r="90" spans="1:6">
      <c r="A90" s="20"/>
      <c r="B90" s="21"/>
      <c r="C90" s="20"/>
      <c r="D90" s="20"/>
      <c r="E90" s="22"/>
      <c r="F90" s="20" t="s">
        <v>374</v>
      </c>
    </row>
    <row r="91" spans="1:6">
      <c r="A91" s="20"/>
      <c r="B91" s="21"/>
      <c r="C91" s="20"/>
      <c r="D91" s="20"/>
      <c r="E91" s="22"/>
      <c r="F91" s="20" t="s">
        <v>374</v>
      </c>
    </row>
    <row r="92" spans="1:6">
      <c r="A92" s="20"/>
      <c r="B92" s="21"/>
      <c r="C92" s="20"/>
      <c r="D92" s="20"/>
      <c r="E92" s="22"/>
      <c r="F92" s="20" t="s">
        <v>374</v>
      </c>
    </row>
    <row r="93" spans="1:6">
      <c r="A93" s="20"/>
      <c r="B93" s="21"/>
      <c r="C93" s="20"/>
      <c r="D93" s="20"/>
      <c r="E93" s="22"/>
      <c r="F93" s="20" t="s">
        <v>374</v>
      </c>
    </row>
    <row r="94" spans="1:6">
      <c r="A94" s="20"/>
      <c r="B94" s="21"/>
      <c r="C94" s="20"/>
      <c r="D94" s="20"/>
      <c r="E94" s="22"/>
      <c r="F94" s="20" t="s">
        <v>374</v>
      </c>
    </row>
    <row r="95" spans="1:6">
      <c r="A95" s="20"/>
      <c r="B95" s="21"/>
      <c r="C95" s="20"/>
      <c r="D95" s="20"/>
      <c r="E95" s="22"/>
      <c r="F95" s="20" t="s">
        <v>374</v>
      </c>
    </row>
    <row r="96" spans="1:6">
      <c r="A96" s="20"/>
      <c r="B96" s="21"/>
      <c r="C96" s="20"/>
      <c r="D96" s="20"/>
      <c r="E96" s="22"/>
      <c r="F96" s="20" t="s">
        <v>374</v>
      </c>
    </row>
    <row r="97" spans="1:6">
      <c r="A97" s="20"/>
      <c r="B97" s="21"/>
      <c r="C97" s="20"/>
      <c r="D97" s="20"/>
      <c r="E97" s="22"/>
      <c r="F97" s="20" t="s">
        <v>374</v>
      </c>
    </row>
    <row r="98" spans="1:6">
      <c r="A98" s="20"/>
      <c r="B98" s="21"/>
      <c r="C98" s="20"/>
      <c r="D98" s="20"/>
      <c r="E98" s="22"/>
      <c r="F98" s="20" t="s">
        <v>374</v>
      </c>
    </row>
    <row r="99" spans="1:6">
      <c r="A99" s="20"/>
      <c r="B99" s="21"/>
      <c r="C99" s="20"/>
      <c r="D99" s="20"/>
      <c r="E99" s="22"/>
      <c r="F99" s="20" t="s">
        <v>374</v>
      </c>
    </row>
    <row r="100" spans="1:6">
      <c r="A100" s="20"/>
      <c r="B100" s="21"/>
      <c r="C100" s="20"/>
      <c r="D100" s="20"/>
      <c r="E100" s="22"/>
      <c r="F100" s="20" t="s">
        <v>374</v>
      </c>
    </row>
    <row r="101" spans="1:6">
      <c r="A101" s="20"/>
      <c r="B101" s="21"/>
      <c r="C101" s="20"/>
      <c r="D101" s="20"/>
      <c r="E101" s="22"/>
      <c r="F101" s="20" t="s">
        <v>374</v>
      </c>
    </row>
    <row r="102" spans="1:6">
      <c r="A102" s="20"/>
      <c r="B102" s="21"/>
      <c r="C102" s="20"/>
      <c r="D102" s="20"/>
      <c r="E102" s="22"/>
      <c r="F102" s="20" t="s">
        <v>374</v>
      </c>
    </row>
    <row r="103" spans="1:6">
      <c r="A103" s="20"/>
      <c r="B103" s="21"/>
      <c r="C103" s="20"/>
      <c r="D103" s="20"/>
      <c r="E103" s="22"/>
      <c r="F103" s="20" t="s">
        <v>374</v>
      </c>
    </row>
    <row r="104" spans="1:6">
      <c r="A104" s="20"/>
      <c r="B104" s="21"/>
      <c r="C104" s="20"/>
      <c r="D104" s="20"/>
      <c r="E104" s="22"/>
      <c r="F104" s="20" t="s">
        <v>374</v>
      </c>
    </row>
    <row r="105" spans="1:6">
      <c r="A105" s="20"/>
      <c r="B105" s="21"/>
      <c r="C105" s="20"/>
      <c r="D105" s="20"/>
      <c r="E105" s="22"/>
      <c r="F105" s="20" t="s">
        <v>374</v>
      </c>
    </row>
    <row r="106" spans="1:6">
      <c r="A106" s="20"/>
      <c r="B106" s="21"/>
      <c r="C106" s="20"/>
      <c r="D106" s="20"/>
      <c r="E106" s="22"/>
      <c r="F106" s="20" t="s">
        <v>374</v>
      </c>
    </row>
    <row r="107" spans="1:6">
      <c r="A107" s="20"/>
      <c r="B107" s="21"/>
      <c r="C107" s="20"/>
      <c r="D107" s="20"/>
      <c r="E107" s="22"/>
      <c r="F107" s="20" t="s">
        <v>374</v>
      </c>
    </row>
    <row r="108" spans="1:6">
      <c r="A108" s="20"/>
      <c r="B108" s="21"/>
      <c r="C108" s="20"/>
      <c r="D108" s="20"/>
      <c r="E108" s="22"/>
      <c r="F108" s="20" t="s">
        <v>374</v>
      </c>
    </row>
    <row r="109" spans="1:6">
      <c r="A109" s="20"/>
      <c r="B109" s="21"/>
      <c r="C109" s="20"/>
      <c r="D109" s="20"/>
      <c r="E109" s="22"/>
      <c r="F109" s="20" t="s">
        <v>374</v>
      </c>
    </row>
    <row r="110" spans="1:6">
      <c r="A110" s="20"/>
      <c r="B110" s="21"/>
      <c r="C110" s="20"/>
      <c r="D110" s="20"/>
      <c r="E110" s="22"/>
      <c r="F110" s="20" t="s">
        <v>374</v>
      </c>
    </row>
    <row r="111" spans="1:6">
      <c r="A111" s="20"/>
      <c r="B111" s="21"/>
      <c r="C111" s="20"/>
      <c r="D111" s="20"/>
      <c r="E111" s="22"/>
      <c r="F111" s="20" t="s">
        <v>374</v>
      </c>
    </row>
    <row r="112" spans="1:6">
      <c r="A112" s="20"/>
      <c r="B112" s="21"/>
      <c r="C112" s="20"/>
      <c r="D112" s="20"/>
      <c r="E112" s="22"/>
      <c r="F112" s="20" t="s">
        <v>374</v>
      </c>
    </row>
    <row r="113" spans="1:6">
      <c r="A113" s="20"/>
      <c r="B113" s="21"/>
      <c r="C113" s="20"/>
      <c r="D113" s="20"/>
      <c r="E113" s="22"/>
      <c r="F113" s="20" t="s">
        <v>374</v>
      </c>
    </row>
    <row r="114" spans="1:6">
      <c r="A114" s="20"/>
      <c r="B114" s="21"/>
      <c r="C114" s="20"/>
      <c r="D114" s="20"/>
      <c r="E114" s="22"/>
      <c r="F114" s="20" t="s">
        <v>374</v>
      </c>
    </row>
    <row r="115" spans="1:6">
      <c r="A115" s="20"/>
      <c r="B115" s="21"/>
      <c r="C115" s="20"/>
      <c r="D115" s="20"/>
      <c r="E115" s="22"/>
      <c r="F115" s="20" t="s">
        <v>374</v>
      </c>
    </row>
    <row r="116" spans="1:6">
      <c r="A116" s="20"/>
      <c r="B116" s="21"/>
      <c r="C116" s="20"/>
      <c r="D116" s="20"/>
      <c r="E116" s="22"/>
      <c r="F116" s="20" t="s">
        <v>374</v>
      </c>
    </row>
    <row r="117" spans="1:6">
      <c r="A117" s="20"/>
      <c r="B117" s="21"/>
      <c r="C117" s="20"/>
      <c r="D117" s="20"/>
      <c r="E117" s="22"/>
      <c r="F117" s="20" t="s">
        <v>374</v>
      </c>
    </row>
    <row r="118" spans="1:6">
      <c r="A118" s="20"/>
      <c r="B118" s="21"/>
      <c r="C118" s="20"/>
      <c r="D118" s="20"/>
      <c r="E118" s="22"/>
      <c r="F118" s="20" t="s">
        <v>374</v>
      </c>
    </row>
    <row r="119" spans="1:6">
      <c r="A119" s="20"/>
      <c r="B119" s="21"/>
      <c r="C119" s="20"/>
      <c r="D119" s="20"/>
      <c r="E119" s="22"/>
      <c r="F119" s="20" t="s">
        <v>374</v>
      </c>
    </row>
    <row r="120" spans="1:6">
      <c r="A120" s="20"/>
      <c r="B120" s="21"/>
      <c r="C120" s="20"/>
      <c r="D120" s="20"/>
      <c r="E120" s="22"/>
      <c r="F120" s="20" t="s">
        <v>374</v>
      </c>
    </row>
    <row r="121" spans="1:6">
      <c r="A121" s="20"/>
      <c r="B121" s="21"/>
      <c r="C121" s="20"/>
      <c r="D121" s="20"/>
      <c r="E121" s="22"/>
      <c r="F121" s="20" t="s">
        <v>374</v>
      </c>
    </row>
    <row r="122" spans="1:6">
      <c r="A122" s="20"/>
      <c r="B122" s="21"/>
      <c r="C122" s="20"/>
      <c r="D122" s="20"/>
      <c r="E122" s="22"/>
      <c r="F122" s="20" t="s">
        <v>374</v>
      </c>
    </row>
    <row r="123" spans="1:6">
      <c r="A123" s="20"/>
      <c r="B123" s="21"/>
      <c r="C123" s="20"/>
      <c r="D123" s="20"/>
      <c r="E123" s="22"/>
      <c r="F123" s="20" t="s">
        <v>374</v>
      </c>
    </row>
    <row r="124" spans="1:6">
      <c r="A124" s="20"/>
      <c r="B124" s="21"/>
      <c r="C124" s="20"/>
      <c r="D124" s="20"/>
      <c r="E124" s="22"/>
      <c r="F124" s="20" t="s">
        <v>374</v>
      </c>
    </row>
    <row r="125" spans="1:6">
      <c r="A125" s="20"/>
      <c r="B125" s="21"/>
      <c r="C125" s="20"/>
      <c r="D125" s="20"/>
      <c r="E125" s="22"/>
      <c r="F125" s="20" t="s">
        <v>374</v>
      </c>
    </row>
    <row r="126" spans="1:6">
      <c r="A126" s="20"/>
      <c r="B126" s="21"/>
      <c r="C126" s="20"/>
      <c r="D126" s="20"/>
      <c r="E126" s="22"/>
      <c r="F126" s="20" t="s">
        <v>374</v>
      </c>
    </row>
    <row r="127" spans="1:6">
      <c r="A127" s="20"/>
      <c r="B127" s="21"/>
      <c r="C127" s="20"/>
      <c r="D127" s="20"/>
      <c r="E127" s="22"/>
      <c r="F127" s="20" t="s">
        <v>374</v>
      </c>
    </row>
    <row r="128" spans="1:6">
      <c r="A128" s="20"/>
      <c r="B128" s="21"/>
      <c r="C128" s="20"/>
      <c r="D128" s="20"/>
      <c r="E128" s="22"/>
      <c r="F128" s="20" t="s">
        <v>374</v>
      </c>
    </row>
    <row r="129" spans="1:6">
      <c r="A129" s="20"/>
      <c r="B129" s="21"/>
      <c r="C129" s="20"/>
      <c r="D129" s="20"/>
      <c r="E129" s="22"/>
      <c r="F129" s="20" t="s">
        <v>374</v>
      </c>
    </row>
    <row r="130" spans="1:6">
      <c r="A130" s="20"/>
      <c r="B130" s="21"/>
      <c r="C130" s="20"/>
      <c r="D130" s="20"/>
      <c r="E130" s="22"/>
      <c r="F130" s="20" t="s">
        <v>374</v>
      </c>
    </row>
    <row r="131" spans="1:6">
      <c r="A131" s="20"/>
      <c r="B131" s="21"/>
      <c r="C131" s="20"/>
      <c r="D131" s="20"/>
      <c r="E131" s="22"/>
      <c r="F131" s="20" t="s">
        <v>374</v>
      </c>
    </row>
    <row r="132" spans="1:6">
      <c r="A132" s="20"/>
      <c r="B132" s="21"/>
      <c r="C132" s="20"/>
      <c r="D132" s="20"/>
      <c r="E132" s="22"/>
      <c r="F132" s="20" t="s">
        <v>374</v>
      </c>
    </row>
    <row r="133" spans="1:6">
      <c r="A133" s="20"/>
      <c r="B133" s="21"/>
      <c r="C133" s="20"/>
      <c r="D133" s="20"/>
      <c r="E133" s="22"/>
      <c r="F133" s="20" t="s">
        <v>374</v>
      </c>
    </row>
    <row r="134" spans="1:6">
      <c r="A134" s="20"/>
      <c r="B134" s="21"/>
      <c r="C134" s="20"/>
      <c r="D134" s="20"/>
      <c r="E134" s="22"/>
      <c r="F134" s="20" t="s">
        <v>374</v>
      </c>
    </row>
    <row r="135" spans="1:6">
      <c r="A135" s="20"/>
      <c r="B135" s="21"/>
      <c r="C135" s="20"/>
      <c r="D135" s="20"/>
      <c r="E135" s="22"/>
      <c r="F135" s="20" t="s">
        <v>374</v>
      </c>
    </row>
    <row r="136" spans="1:6">
      <c r="A136" s="20"/>
      <c r="B136" s="21"/>
      <c r="C136" s="20"/>
      <c r="D136" s="20"/>
      <c r="E136" s="22"/>
      <c r="F136" s="20" t="s">
        <v>374</v>
      </c>
    </row>
    <row r="137" spans="1:6">
      <c r="A137" s="20"/>
      <c r="B137" s="21"/>
      <c r="C137" s="20"/>
      <c r="D137" s="20"/>
      <c r="E137" s="22"/>
      <c r="F137" s="20" t="s">
        <v>374</v>
      </c>
    </row>
    <row r="138" spans="1:6">
      <c r="A138" s="20"/>
      <c r="B138" s="21"/>
      <c r="C138" s="20"/>
      <c r="D138" s="20"/>
      <c r="E138" s="22"/>
      <c r="F138" s="20" t="s">
        <v>374</v>
      </c>
    </row>
    <row r="139" spans="1:6">
      <c r="A139" s="20"/>
      <c r="B139" s="21"/>
      <c r="C139" s="20"/>
      <c r="D139" s="20"/>
      <c r="E139" s="22"/>
      <c r="F139" s="20" t="s">
        <v>374</v>
      </c>
    </row>
    <row r="140" spans="1:6">
      <c r="A140" s="20"/>
      <c r="B140" s="21"/>
      <c r="C140" s="20"/>
      <c r="D140" s="20"/>
      <c r="E140" s="22"/>
      <c r="F140" s="20" t="s">
        <v>374</v>
      </c>
    </row>
    <row r="141" spans="1:6">
      <c r="A141" s="20"/>
      <c r="B141" s="21"/>
      <c r="C141" s="20"/>
      <c r="D141" s="20"/>
      <c r="E141" s="22"/>
      <c r="F141" s="20" t="s">
        <v>374</v>
      </c>
    </row>
    <row r="142" spans="1:6">
      <c r="A142" s="20"/>
      <c r="B142" s="21"/>
      <c r="C142" s="20"/>
      <c r="D142" s="20"/>
      <c r="E142" s="22"/>
      <c r="F142" s="20" t="s">
        <v>374</v>
      </c>
    </row>
    <row r="143" spans="1:6">
      <c r="A143" s="20"/>
      <c r="B143" s="21"/>
      <c r="C143" s="20"/>
      <c r="D143" s="20"/>
      <c r="E143" s="22"/>
      <c r="F143" s="20" t="s">
        <v>374</v>
      </c>
    </row>
    <row r="144" spans="1:6">
      <c r="A144" s="20"/>
      <c r="B144" s="21"/>
      <c r="C144" s="20"/>
      <c r="D144" s="20"/>
      <c r="E144" s="22"/>
      <c r="F144" s="20" t="s">
        <v>374</v>
      </c>
    </row>
    <row r="145" spans="1:6">
      <c r="A145" s="20"/>
      <c r="B145" s="21"/>
      <c r="C145" s="20"/>
      <c r="D145" s="20"/>
      <c r="E145" s="22"/>
      <c r="F145" s="20" t="s">
        <v>374</v>
      </c>
    </row>
    <row r="146" spans="1:6">
      <c r="A146" s="20"/>
      <c r="B146" s="21"/>
      <c r="C146" s="20"/>
      <c r="D146" s="20"/>
      <c r="E146" s="22"/>
      <c r="F146" s="20" t="s">
        <v>374</v>
      </c>
    </row>
    <row r="147" spans="1:6">
      <c r="A147" s="20"/>
      <c r="B147" s="21"/>
      <c r="C147" s="20"/>
      <c r="D147" s="20"/>
      <c r="E147" s="22"/>
      <c r="F147" s="20" t="s">
        <v>374</v>
      </c>
    </row>
    <row r="148" spans="1:6">
      <c r="A148" s="20"/>
      <c r="B148" s="21"/>
      <c r="C148" s="20"/>
      <c r="D148" s="20"/>
      <c r="E148" s="22"/>
      <c r="F148" s="20" t="s">
        <v>374</v>
      </c>
    </row>
    <row r="149" spans="1:6">
      <c r="A149" s="20"/>
      <c r="B149" s="21"/>
      <c r="C149" s="20"/>
      <c r="D149" s="20"/>
      <c r="E149" s="22"/>
      <c r="F149" s="20" t="s">
        <v>374</v>
      </c>
    </row>
    <row r="150" spans="1:6">
      <c r="A150" s="20"/>
      <c r="B150" s="21"/>
      <c r="C150" s="20"/>
      <c r="D150" s="20"/>
      <c r="E150" s="22"/>
      <c r="F150" s="20" t="s">
        <v>374</v>
      </c>
    </row>
    <row r="151" spans="1:6">
      <c r="A151" s="20"/>
      <c r="B151" s="21"/>
      <c r="C151" s="20"/>
      <c r="D151" s="20"/>
      <c r="E151" s="22"/>
      <c r="F151" s="20" t="s">
        <v>374</v>
      </c>
    </row>
    <row r="152" spans="1:6">
      <c r="A152" s="20"/>
      <c r="B152" s="21"/>
      <c r="C152" s="20"/>
      <c r="D152" s="20"/>
      <c r="E152" s="22"/>
      <c r="F152" s="20" t="s">
        <v>374</v>
      </c>
    </row>
    <row r="153" spans="1:6">
      <c r="A153" s="20"/>
      <c r="B153" s="21"/>
      <c r="C153" s="20"/>
      <c r="D153" s="20"/>
      <c r="E153" s="22"/>
      <c r="F153" s="20" t="s">
        <v>374</v>
      </c>
    </row>
    <row r="154" spans="1:6">
      <c r="A154" s="20"/>
      <c r="B154" s="21"/>
      <c r="C154" s="20"/>
      <c r="D154" s="20"/>
      <c r="E154" s="22"/>
      <c r="F154" s="20" t="s">
        <v>374</v>
      </c>
    </row>
    <row r="155" spans="1:6">
      <c r="A155" s="20"/>
      <c r="B155" s="21"/>
      <c r="C155" s="20"/>
      <c r="D155" s="20"/>
      <c r="E155" s="22"/>
      <c r="F155" s="20" t="s">
        <v>374</v>
      </c>
    </row>
    <row r="156" spans="1:6">
      <c r="A156" s="20"/>
      <c r="B156" s="21"/>
      <c r="C156" s="20"/>
      <c r="D156" s="20"/>
      <c r="E156" s="22"/>
      <c r="F156" s="20" t="s">
        <v>374</v>
      </c>
    </row>
    <row r="157" spans="1:6">
      <c r="A157" s="20"/>
      <c r="B157" s="21"/>
      <c r="C157" s="20"/>
      <c r="D157" s="20"/>
      <c r="E157" s="22"/>
      <c r="F157" s="20" t="s">
        <v>374</v>
      </c>
    </row>
    <row r="158" spans="1:6">
      <c r="A158" s="20"/>
      <c r="B158" s="21"/>
      <c r="C158" s="20"/>
      <c r="D158" s="20"/>
      <c r="E158" s="22"/>
      <c r="F158" s="20" t="s">
        <v>374</v>
      </c>
    </row>
    <row r="159" spans="1:6">
      <c r="A159" s="20"/>
      <c r="B159" s="21"/>
      <c r="C159" s="20"/>
      <c r="D159" s="20"/>
      <c r="E159" s="22"/>
      <c r="F159" s="20" t="s">
        <v>374</v>
      </c>
    </row>
    <row r="160" spans="1:6">
      <c r="A160" s="20"/>
      <c r="B160" s="21"/>
      <c r="C160" s="20"/>
      <c r="D160" s="20"/>
      <c r="E160" s="22"/>
      <c r="F160" s="20" t="s">
        <v>374</v>
      </c>
    </row>
    <row r="161" spans="1:6">
      <c r="A161" s="20"/>
      <c r="B161" s="21"/>
      <c r="C161" s="20"/>
      <c r="D161" s="20"/>
      <c r="E161" s="22"/>
      <c r="F161" s="20" t="s">
        <v>374</v>
      </c>
    </row>
    <row r="162" spans="1:6">
      <c r="A162" s="20"/>
      <c r="B162" s="21"/>
      <c r="C162" s="20"/>
      <c r="D162" s="20"/>
      <c r="E162" s="22"/>
      <c r="F162" s="20" t="s">
        <v>374</v>
      </c>
    </row>
    <row r="163" spans="1:6">
      <c r="A163" s="20"/>
      <c r="B163" s="21"/>
      <c r="C163" s="20"/>
      <c r="D163" s="20"/>
      <c r="E163" s="22"/>
      <c r="F163" s="20" t="s">
        <v>374</v>
      </c>
    </row>
    <row r="164" spans="1:6">
      <c r="A164" s="20"/>
      <c r="B164" s="21"/>
      <c r="C164" s="20"/>
      <c r="D164" s="20"/>
      <c r="E164" s="22"/>
      <c r="F164" s="20" t="s">
        <v>374</v>
      </c>
    </row>
    <row r="165" spans="1:6">
      <c r="A165" s="20"/>
      <c r="B165" s="21"/>
      <c r="C165" s="20"/>
      <c r="D165" s="20"/>
      <c r="E165" s="22"/>
      <c r="F165" s="20" t="s">
        <v>374</v>
      </c>
    </row>
    <row r="166" spans="1:6">
      <c r="A166" s="20"/>
      <c r="B166" s="21"/>
      <c r="C166" s="20"/>
      <c r="D166" s="20"/>
      <c r="E166" s="22"/>
      <c r="F166" s="20" t="s">
        <v>374</v>
      </c>
    </row>
    <row r="167" spans="1:6">
      <c r="A167" s="20"/>
      <c r="B167" s="21"/>
      <c r="C167" s="20"/>
      <c r="D167" s="20"/>
      <c r="E167" s="22"/>
      <c r="F167" s="20" t="s">
        <v>374</v>
      </c>
    </row>
    <row r="168" spans="1:6">
      <c r="A168" s="20"/>
      <c r="B168" s="21"/>
      <c r="C168" s="20"/>
      <c r="D168" s="20"/>
      <c r="E168" s="22"/>
      <c r="F168" s="20" t="s">
        <v>374</v>
      </c>
    </row>
    <row r="169" spans="1:6">
      <c r="A169" s="20"/>
      <c r="B169" s="21"/>
      <c r="C169" s="20"/>
      <c r="D169" s="20"/>
      <c r="E169" s="22"/>
      <c r="F169" s="20" t="s">
        <v>374</v>
      </c>
    </row>
    <row r="170" spans="1:6">
      <c r="A170" s="20"/>
      <c r="B170" s="21"/>
      <c r="C170" s="20"/>
      <c r="D170" s="20"/>
      <c r="E170" s="22"/>
      <c r="F170" s="20" t="s">
        <v>374</v>
      </c>
    </row>
    <row r="171" spans="1:6">
      <c r="A171" s="20"/>
      <c r="B171" s="21"/>
      <c r="C171" s="20"/>
      <c r="D171" s="20"/>
      <c r="E171" s="22"/>
      <c r="F171" s="20" t="s">
        <v>374</v>
      </c>
    </row>
    <row r="172" spans="1:6">
      <c r="A172" s="20"/>
      <c r="B172" s="21"/>
      <c r="C172" s="20"/>
      <c r="D172" s="20"/>
      <c r="E172" s="22"/>
      <c r="F172" s="20" t="s">
        <v>374</v>
      </c>
    </row>
    <row r="173" spans="1:6">
      <c r="A173" s="20"/>
      <c r="B173" s="21"/>
      <c r="C173" s="20"/>
      <c r="D173" s="20"/>
      <c r="E173" s="22"/>
      <c r="F173" s="20" t="s">
        <v>374</v>
      </c>
    </row>
    <row r="174" spans="1:6">
      <c r="A174" s="20"/>
      <c r="B174" s="21"/>
      <c r="C174" s="20"/>
      <c r="D174" s="20"/>
      <c r="E174" s="22"/>
      <c r="F174" s="20" t="s">
        <v>374</v>
      </c>
    </row>
    <row r="175" spans="1:6">
      <c r="A175" s="20"/>
      <c r="B175" s="21"/>
      <c r="C175" s="20"/>
      <c r="D175" s="20"/>
      <c r="E175" s="22"/>
      <c r="F175" s="20" t="s">
        <v>374</v>
      </c>
    </row>
    <row r="176" spans="1:6">
      <c r="A176" s="20"/>
      <c r="B176" s="21"/>
      <c r="C176" s="20"/>
      <c r="D176" s="20"/>
      <c r="E176" s="22"/>
      <c r="F176" s="20" t="s">
        <v>374</v>
      </c>
    </row>
    <row r="177" spans="1:6">
      <c r="A177" s="20"/>
      <c r="B177" s="21"/>
      <c r="C177" s="20"/>
      <c r="D177" s="20"/>
      <c r="E177" s="22"/>
      <c r="F177" s="20" t="s">
        <v>374</v>
      </c>
    </row>
    <row r="178" spans="1:6">
      <c r="A178" s="20"/>
      <c r="B178" s="21"/>
      <c r="C178" s="20"/>
      <c r="D178" s="20"/>
      <c r="E178" s="22"/>
      <c r="F178" s="20" t="s">
        <v>374</v>
      </c>
    </row>
    <row r="179" spans="1:6">
      <c r="A179" s="20"/>
      <c r="B179" s="21"/>
      <c r="C179" s="20"/>
      <c r="D179" s="20"/>
      <c r="E179" s="22"/>
      <c r="F179" s="20" t="s">
        <v>374</v>
      </c>
    </row>
    <row r="180" spans="1:6">
      <c r="A180" s="20"/>
      <c r="B180" s="21"/>
      <c r="C180" s="20"/>
      <c r="D180" s="20"/>
      <c r="E180" s="22"/>
      <c r="F180" s="20" t="s">
        <v>374</v>
      </c>
    </row>
    <row r="181" spans="1:6">
      <c r="A181" s="20"/>
      <c r="B181" s="21"/>
      <c r="C181" s="20"/>
      <c r="D181" s="20"/>
      <c r="E181" s="22"/>
      <c r="F181" s="20" t="s">
        <v>374</v>
      </c>
    </row>
    <row r="182" spans="1:6">
      <c r="A182" s="20"/>
      <c r="B182" s="21"/>
      <c r="C182" s="20"/>
      <c r="D182" s="20"/>
      <c r="E182" s="22"/>
      <c r="F182" s="20" t="s">
        <v>374</v>
      </c>
    </row>
    <row r="183" spans="1:6">
      <c r="A183" s="20"/>
      <c r="B183" s="21"/>
      <c r="C183" s="20"/>
      <c r="D183" s="20"/>
      <c r="E183" s="22"/>
      <c r="F183" s="20" t="s">
        <v>374</v>
      </c>
    </row>
    <row r="184" spans="1:6">
      <c r="A184" s="20"/>
      <c r="B184" s="21"/>
      <c r="C184" s="20"/>
      <c r="D184" s="20"/>
      <c r="E184" s="22"/>
      <c r="F184" s="20" t="s">
        <v>374</v>
      </c>
    </row>
    <row r="185" spans="1:6">
      <c r="A185" s="20"/>
      <c r="B185" s="21"/>
      <c r="C185" s="20"/>
      <c r="D185" s="20"/>
      <c r="E185" s="22"/>
      <c r="F185" s="20" t="s">
        <v>374</v>
      </c>
    </row>
    <row r="186" spans="1:6">
      <c r="A186" s="20"/>
      <c r="B186" s="21"/>
      <c r="C186" s="20"/>
      <c r="D186" s="20"/>
      <c r="E186" s="22"/>
      <c r="F186" s="20" t="s">
        <v>374</v>
      </c>
    </row>
    <row r="187" spans="1:6">
      <c r="A187" s="20"/>
      <c r="B187" s="21"/>
      <c r="C187" s="20"/>
      <c r="D187" s="20"/>
      <c r="E187" s="22"/>
      <c r="F187" s="20" t="s">
        <v>374</v>
      </c>
    </row>
    <row r="188" spans="1:6">
      <c r="A188" s="17"/>
      <c r="B188" s="3"/>
      <c r="C188" s="17"/>
      <c r="D188" s="17"/>
      <c r="E188" s="10"/>
      <c r="F188" s="20" t="s">
        <v>374</v>
      </c>
    </row>
    <row r="189" spans="1:6">
      <c r="A189" s="17"/>
      <c r="B189" s="3"/>
      <c r="C189" s="17"/>
      <c r="D189" s="17"/>
      <c r="E189" s="10"/>
      <c r="F189" s="20" t="s">
        <v>374</v>
      </c>
    </row>
    <row r="190" spans="1:6">
      <c r="A190" s="17"/>
      <c r="B190" s="3"/>
      <c r="C190" s="17"/>
      <c r="D190" s="17"/>
      <c r="E190" s="10"/>
      <c r="F190" s="20" t="s">
        <v>374</v>
      </c>
    </row>
    <row r="191" spans="1:6">
      <c r="A191" s="17"/>
      <c r="B191" s="3"/>
      <c r="C191" s="17"/>
      <c r="D191" s="17"/>
      <c r="E191" s="10"/>
      <c r="F191" s="20" t="s">
        <v>374</v>
      </c>
    </row>
    <row r="192" spans="1:6">
      <c r="A192" s="17"/>
      <c r="B192" s="3"/>
      <c r="C192" s="17"/>
      <c r="D192" s="17"/>
      <c r="E192" s="10"/>
      <c r="F192" s="20" t="s">
        <v>374</v>
      </c>
    </row>
    <row r="193" spans="1:6">
      <c r="A193" s="17"/>
      <c r="B193" s="3"/>
      <c r="C193" s="17"/>
      <c r="D193" s="17"/>
      <c r="E193" s="10"/>
      <c r="F193" s="20" t="s">
        <v>374</v>
      </c>
    </row>
    <row r="194" spans="1:6">
      <c r="A194" s="17"/>
      <c r="B194" s="3"/>
      <c r="C194" s="17"/>
      <c r="D194" s="17"/>
      <c r="E194" s="10"/>
      <c r="F194" s="20" t="s">
        <v>374</v>
      </c>
    </row>
    <row r="195" spans="1:6">
      <c r="A195" s="17"/>
      <c r="B195" s="3"/>
      <c r="C195" s="17"/>
      <c r="D195" s="17"/>
      <c r="E195" s="10"/>
      <c r="F195" s="20" t="s">
        <v>374</v>
      </c>
    </row>
    <row r="196" spans="1:6">
      <c r="A196" s="17"/>
      <c r="B196" s="3"/>
      <c r="C196" s="17"/>
      <c r="D196" s="17"/>
      <c r="E196" s="10"/>
      <c r="F196" s="20" t="s">
        <v>374</v>
      </c>
    </row>
    <row r="197" spans="1:6">
      <c r="A197" s="17"/>
      <c r="B197" s="3"/>
      <c r="C197" s="17"/>
      <c r="D197" s="17"/>
      <c r="E197" s="10"/>
      <c r="F197" s="20" t="s">
        <v>374</v>
      </c>
    </row>
    <row r="198" spans="1:6">
      <c r="A198" s="17"/>
      <c r="B198" s="3"/>
      <c r="C198" s="17"/>
      <c r="D198" s="17"/>
      <c r="E198" s="10"/>
      <c r="F198" s="20" t="s">
        <v>374</v>
      </c>
    </row>
    <row r="199" spans="1:6">
      <c r="A199" s="17"/>
      <c r="B199" s="3"/>
      <c r="C199" s="17"/>
      <c r="D199" s="17"/>
      <c r="E199" s="10"/>
      <c r="F199" s="20" t="s">
        <v>374</v>
      </c>
    </row>
    <row r="200" spans="1:6">
      <c r="A200" s="17"/>
      <c r="B200" s="3"/>
      <c r="C200" s="17"/>
      <c r="D200" s="17"/>
      <c r="E200" s="10"/>
      <c r="F200" s="20" t="s">
        <v>374</v>
      </c>
    </row>
  </sheetData>
  <autoFilter ref="A3:F200" xr:uid="{EF14FDCE-3AB4-7945-B745-B96232E95B9F}"/>
  <mergeCells count="12">
    <mergeCell ref="F3:F4"/>
    <mergeCell ref="A1:F2"/>
    <mergeCell ref="A3:A4"/>
    <mergeCell ref="B3:B4"/>
    <mergeCell ref="C3:C4"/>
    <mergeCell ref="D3:D4"/>
    <mergeCell ref="E3:E4"/>
    <mergeCell ref="H1:I2"/>
    <mergeCell ref="J1:K2"/>
    <mergeCell ref="L1:M2"/>
    <mergeCell ref="O1:P2"/>
    <mergeCell ref="Q1:R2"/>
  </mergeCells>
  <phoneticPr fontId="4" type="noConversion"/>
  <conditionalFormatting sqref="A3:F3 A1 A5:F1048576">
    <cfRule type="expression" dxfId="17" priority="1">
      <formula>$F1="소실"</formula>
    </cfRule>
    <cfRule type="expression" dxfId="16" priority="2">
      <formula>$F1="일반대여"</formula>
    </cfRule>
    <cfRule type="expression" dxfId="15" priority="3">
      <formula>$F1="장기대여"</formula>
    </cfRule>
  </conditionalFormatting>
  <dataValidations count="1">
    <dataValidation type="list" allowBlank="1" showInputMessage="1" showErrorMessage="1" sqref="F5:F277" xr:uid="{03D6C157-FB8D-EA45-9A1B-58E58B38A160}">
      <formula1>"-,일반대여,장기대여,소실"</formula1>
    </dataValidation>
  </dataValidations>
  <hyperlinks>
    <hyperlink ref="H1:I2" location="'TAM-T'!A1" display="TAM-T" xr:uid="{58740728-E4A7-D340-AB53-D168F4F478ED}"/>
    <hyperlink ref="J1:K2" location="'TAM-A'!A1" display="TAM-A" xr:uid="{611F1B34-C49D-AD46-A0C8-30F5846D7B18}"/>
    <hyperlink ref="L1:M2" location="'TAM-M'!A1" display="TAM-M" xr:uid="{F18F51A3-1DA6-214A-8B68-1CF6B64BDC21}"/>
    <hyperlink ref="O1:P2" location="'NA-N'!A1" display="NA-N" xr:uid="{F710E68F-36B0-9C49-BEDF-BC666C4C145B}"/>
    <hyperlink ref="Q1:R2" location="'NA-A'!A1" display="NA-A" xr:uid="{9E5A2BA2-DCB6-2A4E-9CA1-7608C9080D1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6B3B-FC79-9049-A9D7-BEF7C606D596}">
  <sheetPr codeName="Sheet3"/>
  <dimension ref="A1:R200"/>
  <sheetViews>
    <sheetView workbookViewId="0">
      <pane ySplit="2" topLeftCell="A3" activePane="bottomLeft" state="frozen"/>
      <selection pane="bottomLeft" activeCell="H1" sqref="H1:I2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38" t="s">
        <v>369</v>
      </c>
      <c r="B1" s="39"/>
      <c r="C1" s="39"/>
      <c r="D1" s="39"/>
      <c r="E1" s="39"/>
      <c r="F1" s="40"/>
      <c r="G1" s="1"/>
      <c r="H1" s="41" t="s">
        <v>387</v>
      </c>
      <c r="I1" s="42"/>
      <c r="J1" s="26" t="s">
        <v>382</v>
      </c>
      <c r="K1" s="27"/>
      <c r="L1" s="30" t="s">
        <v>383</v>
      </c>
      <c r="M1" s="31"/>
      <c r="N1" s="1"/>
      <c r="O1" s="30" t="s">
        <v>384</v>
      </c>
      <c r="P1" s="31"/>
      <c r="Q1" s="30" t="s">
        <v>385</v>
      </c>
      <c r="R1" s="31"/>
    </row>
    <row r="2" spans="1:18" ht="20" customHeight="1" thickBot="1">
      <c r="A2" s="12" t="s">
        <v>140</v>
      </c>
      <c r="B2" s="12" t="s">
        <v>146</v>
      </c>
      <c r="C2" s="12" t="s">
        <v>142</v>
      </c>
      <c r="D2" s="12" t="s">
        <v>138</v>
      </c>
      <c r="E2" s="13" t="s">
        <v>295</v>
      </c>
      <c r="F2" s="14" t="s">
        <v>367</v>
      </c>
      <c r="G2" s="1"/>
      <c r="H2" s="43"/>
      <c r="I2" s="44"/>
      <c r="J2" s="28"/>
      <c r="K2" s="29"/>
      <c r="L2" s="32"/>
      <c r="M2" s="33"/>
      <c r="N2" s="1"/>
      <c r="O2" s="32"/>
      <c r="P2" s="33"/>
      <c r="Q2" s="32"/>
      <c r="R2" s="33"/>
    </row>
    <row r="3" spans="1:18" ht="20" customHeight="1">
      <c r="A3" s="20">
        <v>1</v>
      </c>
      <c r="B3" s="21" t="s">
        <v>143</v>
      </c>
      <c r="C3" s="20" t="str">
        <f>IF(ISNUMBER(MATCH($A3, 대여현황!$A:$A, 0)), INDEX(대여현황!C:C, MATCH($A3, 대여현황!$A:$A, 0)), "")</f>
        <v/>
      </c>
      <c r="D3" s="20" t="str">
        <f>IF(ISNUMBER(MATCH($A3, 대여현황!$A:$A, 0)), INDEX(대여현황!D:D, MATCH($A3, 대여현황!$A:$A, 0)), "")</f>
        <v/>
      </c>
      <c r="E3" s="22" t="str">
        <f>IF(ISNUMBER(MATCH($A3, 대여현황!$A:$A, 0)), INDEX(대여현황!E:E, MATCH($A3, 대여현황!$A:$A, 0)), "")</f>
        <v/>
      </c>
      <c r="F3" s="22" t="str">
        <f>IF(ISNUMBER(MATCH($A3, 대여현황!$A:$A, 0)), INDEX(대여현황!F:F, MATCH($A3, 대여현황!$A:$A, 0)), "-")</f>
        <v>-</v>
      </c>
    </row>
    <row r="4" spans="1:18" ht="20" customHeight="1">
      <c r="A4" s="20">
        <v>2</v>
      </c>
      <c r="B4" s="21" t="s">
        <v>143</v>
      </c>
      <c r="C4" s="20" t="str">
        <f>IF(ISNUMBER(MATCH($A4, 대여현황!$A:$A, 0)), INDEX(대여현황!C:C, MATCH($A4, 대여현황!$A:$A, 0)), "")</f>
        <v/>
      </c>
      <c r="D4" s="20" t="str">
        <f>IF(ISNUMBER(MATCH($A4, 대여현황!$A:$A, 0)), INDEX(대여현황!D:D, MATCH($A4, 대여현황!$A:$A, 0)), "")</f>
        <v/>
      </c>
      <c r="E4" s="22" t="str">
        <f>IF(ISNUMBER(MATCH($A4, 대여현황!$A:$A, 0)), INDEX(대여현황!E:E, MATCH($A4, 대여현황!$A:$A, 0)), "")</f>
        <v/>
      </c>
      <c r="F4" s="22" t="str">
        <f>IF(ISNUMBER(MATCH($A4, 대여현황!$A:$A, 0)), INDEX(대여현황!F:F, MATCH($A4, 대여현황!$A:$A, 0)), "-")</f>
        <v>-</v>
      </c>
    </row>
    <row r="5" spans="1:18" ht="20" customHeight="1">
      <c r="A5" s="20">
        <v>3</v>
      </c>
      <c r="B5" s="21" t="s">
        <v>279</v>
      </c>
      <c r="C5" s="20" t="str">
        <f>IF(ISNUMBER(MATCH($A5, 대여현황!$A:$A, 0)), INDEX(대여현황!C:C, MATCH($A5, 대여현황!$A:$A, 0)), "")</f>
        <v/>
      </c>
      <c r="D5" s="20" t="str">
        <f>IF(ISNUMBER(MATCH($A5, 대여현황!$A:$A, 0)), INDEX(대여현황!D:D, MATCH($A5, 대여현황!$A:$A, 0)), "")</f>
        <v/>
      </c>
      <c r="E5" s="22" t="str">
        <f>IF(ISNUMBER(MATCH($A5, 대여현황!$A:$A, 0)), INDEX(대여현황!E:E, MATCH($A5, 대여현황!$A:$A, 0)), "")</f>
        <v/>
      </c>
      <c r="F5" s="22" t="str">
        <f>IF(ISNUMBER(MATCH($A5, 대여현황!$A:$A, 0)), INDEX(대여현황!F:F, MATCH($A5, 대여현황!$A:$A, 0)), "-")</f>
        <v>-</v>
      </c>
    </row>
    <row r="6" spans="1:18" ht="20" customHeight="1">
      <c r="A6" s="20">
        <v>4</v>
      </c>
      <c r="B6" s="21" t="s">
        <v>279</v>
      </c>
      <c r="C6" s="20" t="str">
        <f>IF(ISNUMBER(MATCH($A6, 대여현황!$A:$A, 0)), INDEX(대여현황!C:C, MATCH($A6, 대여현황!$A:$A, 0)), "")</f>
        <v/>
      </c>
      <c r="D6" s="20" t="str">
        <f>IF(ISNUMBER(MATCH($A6, 대여현황!$A:$A, 0)), INDEX(대여현황!D:D, MATCH($A6, 대여현황!$A:$A, 0)), "")</f>
        <v/>
      </c>
      <c r="E6" s="22" t="str">
        <f>IF(ISNUMBER(MATCH($A6, 대여현황!$A:$A, 0)), INDEX(대여현황!E:E, MATCH($A6, 대여현황!$A:$A, 0)), "")</f>
        <v/>
      </c>
      <c r="F6" s="22" t="str">
        <f>IF(ISNUMBER(MATCH($A6, 대여현황!$A:$A, 0)), INDEX(대여현황!F:F, MATCH($A6, 대여현황!$A:$A, 0)), "-")</f>
        <v>-</v>
      </c>
    </row>
    <row r="7" spans="1:18" ht="20" customHeight="1">
      <c r="A7" s="20">
        <v>5</v>
      </c>
      <c r="B7" s="21" t="s">
        <v>287</v>
      </c>
      <c r="C7" s="20" t="str">
        <f>IF(ISNUMBER(MATCH($A7, 대여현황!$A:$A, 0)), INDEX(대여현황!C:C, MATCH($A7, 대여현황!$A:$A, 0)), "")</f>
        <v/>
      </c>
      <c r="D7" s="20" t="str">
        <f>IF(ISNUMBER(MATCH($A7, 대여현황!$A:$A, 0)), INDEX(대여현황!D:D, MATCH($A7, 대여현황!$A:$A, 0)), "")</f>
        <v/>
      </c>
      <c r="E7" s="22" t="str">
        <f>IF(ISNUMBER(MATCH($A7, 대여현황!$A:$A, 0)), INDEX(대여현황!E:E, MATCH($A7, 대여현황!$A:$A, 0)), "")</f>
        <v/>
      </c>
      <c r="F7" s="22" t="str">
        <f>IF(ISNUMBER(MATCH($A7, 대여현황!$A:$A, 0)), INDEX(대여현황!F:F, MATCH($A7, 대여현황!$A:$A, 0)), "-")</f>
        <v>-</v>
      </c>
    </row>
    <row r="8" spans="1:18" ht="20" customHeight="1">
      <c r="A8" s="20">
        <v>6</v>
      </c>
      <c r="B8" s="21" t="s">
        <v>287</v>
      </c>
      <c r="C8" s="20" t="str">
        <f>IF(ISNUMBER(MATCH($A8, 대여현황!$A:$A, 0)), INDEX(대여현황!C:C, MATCH($A8, 대여현황!$A:$A, 0)), "")</f>
        <v/>
      </c>
      <c r="D8" s="20" t="str">
        <f>IF(ISNUMBER(MATCH($A8, 대여현황!$A:$A, 0)), INDEX(대여현황!D:D, MATCH($A8, 대여현황!$A:$A, 0)), "")</f>
        <v/>
      </c>
      <c r="E8" s="22" t="str">
        <f>IF(ISNUMBER(MATCH($A8, 대여현황!$A:$A, 0)), INDEX(대여현황!E:E, MATCH($A8, 대여현황!$A:$A, 0)), "")</f>
        <v/>
      </c>
      <c r="F8" s="22" t="str">
        <f>IF(ISNUMBER(MATCH($A8, 대여현황!$A:$A, 0)), INDEX(대여현황!F:F, MATCH($A8, 대여현황!$A:$A, 0)), "-")</f>
        <v>-</v>
      </c>
    </row>
    <row r="9" spans="1:18" ht="20" customHeight="1">
      <c r="A9" s="20">
        <v>7</v>
      </c>
      <c r="B9" s="21" t="s">
        <v>158</v>
      </c>
      <c r="C9" s="20" t="str">
        <f>IF(ISNUMBER(MATCH($A9, 대여현황!$A:$A, 0)), INDEX(대여현황!C:C, MATCH($A9, 대여현황!$A:$A, 0)), "")</f>
        <v/>
      </c>
      <c r="D9" s="20" t="str">
        <f>IF(ISNUMBER(MATCH($A9, 대여현황!$A:$A, 0)), INDEX(대여현황!D:D, MATCH($A9, 대여현황!$A:$A, 0)), "")</f>
        <v/>
      </c>
      <c r="E9" s="22" t="str">
        <f>IF(ISNUMBER(MATCH($A9, 대여현황!$A:$A, 0)), INDEX(대여현황!E:E, MATCH($A9, 대여현황!$A:$A, 0)), "")</f>
        <v/>
      </c>
      <c r="F9" s="22" t="str">
        <f>IF(ISNUMBER(MATCH($A9, 대여현황!$A:$A, 0)), INDEX(대여현황!F:F, MATCH($A9, 대여현황!$A:$A, 0)), "-")</f>
        <v>-</v>
      </c>
    </row>
    <row r="10" spans="1:18" ht="20" customHeight="1">
      <c r="A10" s="20">
        <v>8</v>
      </c>
      <c r="B10" s="21" t="s">
        <v>158</v>
      </c>
      <c r="C10" s="20" t="str">
        <f>IF(ISNUMBER(MATCH($A10, 대여현황!$A:$A, 0)), INDEX(대여현황!C:C, MATCH($A10, 대여현황!$A:$A, 0)), "")</f>
        <v/>
      </c>
      <c r="D10" s="20" t="str">
        <f>IF(ISNUMBER(MATCH($A10, 대여현황!$A:$A, 0)), INDEX(대여현황!D:D, MATCH($A10, 대여현황!$A:$A, 0)), "")</f>
        <v/>
      </c>
      <c r="E10" s="22" t="str">
        <f>IF(ISNUMBER(MATCH($A10, 대여현황!$A:$A, 0)), INDEX(대여현황!E:E, MATCH($A10, 대여현황!$A:$A, 0)), "")</f>
        <v/>
      </c>
      <c r="F10" s="22" t="str">
        <f>IF(ISNUMBER(MATCH($A10, 대여현황!$A:$A, 0)), INDEX(대여현황!F:F, MATCH($A10, 대여현황!$A:$A, 0)), "-")</f>
        <v>-</v>
      </c>
    </row>
    <row r="11" spans="1:18" ht="20" customHeight="1">
      <c r="A11" s="20">
        <v>9</v>
      </c>
      <c r="B11" s="21" t="s">
        <v>159</v>
      </c>
      <c r="C11" s="20" t="str">
        <f>IF(ISNUMBER(MATCH($A11, 대여현황!$A:$A, 0)), INDEX(대여현황!C:C, MATCH($A11, 대여현황!$A:$A, 0)), "")</f>
        <v/>
      </c>
      <c r="D11" s="20" t="str">
        <f>IF(ISNUMBER(MATCH($A11, 대여현황!$A:$A, 0)), INDEX(대여현황!D:D, MATCH($A11, 대여현황!$A:$A, 0)), "")</f>
        <v/>
      </c>
      <c r="E11" s="22" t="str">
        <f>IF(ISNUMBER(MATCH($A11, 대여현황!$A:$A, 0)), INDEX(대여현황!E:E, MATCH($A11, 대여현황!$A:$A, 0)), "")</f>
        <v/>
      </c>
      <c r="F11" s="22" t="str">
        <f>IF(ISNUMBER(MATCH($A11, 대여현황!$A:$A, 0)), INDEX(대여현황!F:F, MATCH($A11, 대여현황!$A:$A, 0)), "-")</f>
        <v>-</v>
      </c>
    </row>
    <row r="12" spans="1:18" ht="20" customHeight="1">
      <c r="A12" s="20">
        <v>10</v>
      </c>
      <c r="B12" s="21" t="s">
        <v>159</v>
      </c>
      <c r="C12" s="20" t="str">
        <f>IF(ISNUMBER(MATCH($A12, 대여현황!$A:$A, 0)), INDEX(대여현황!C:C, MATCH($A12, 대여현황!$A:$A, 0)), "")</f>
        <v/>
      </c>
      <c r="D12" s="20" t="str">
        <f>IF(ISNUMBER(MATCH($A12, 대여현황!$A:$A, 0)), INDEX(대여현황!D:D, MATCH($A12, 대여현황!$A:$A, 0)), "")</f>
        <v/>
      </c>
      <c r="E12" s="22" t="str">
        <f>IF(ISNUMBER(MATCH($A12, 대여현황!$A:$A, 0)), INDEX(대여현황!E:E, MATCH($A12, 대여현황!$A:$A, 0)), "")</f>
        <v/>
      </c>
      <c r="F12" s="22" t="str">
        <f>IF(ISNUMBER(MATCH($A12, 대여현황!$A:$A, 0)), INDEX(대여현황!F:F, MATCH($A12, 대여현황!$A:$A, 0)), "-")</f>
        <v>-</v>
      </c>
    </row>
    <row r="13" spans="1:18" ht="20" customHeight="1">
      <c r="A13" s="20">
        <v>11</v>
      </c>
      <c r="B13" s="21" t="s">
        <v>267</v>
      </c>
      <c r="C13" s="20" t="str">
        <f>IF(ISNUMBER(MATCH($A13, 대여현황!$A:$A, 0)), INDEX(대여현황!C:C, MATCH($A13, 대여현황!$A:$A, 0)), "")</f>
        <v/>
      </c>
      <c r="D13" s="20" t="str">
        <f>IF(ISNUMBER(MATCH($A13, 대여현황!$A:$A, 0)), INDEX(대여현황!D:D, MATCH($A13, 대여현황!$A:$A, 0)), "")</f>
        <v/>
      </c>
      <c r="E13" s="22" t="str">
        <f>IF(ISNUMBER(MATCH($A13, 대여현황!$A:$A, 0)), INDEX(대여현황!E:E, MATCH($A13, 대여현황!$A:$A, 0)), "")</f>
        <v/>
      </c>
      <c r="F13" s="22" t="str">
        <f>IF(ISNUMBER(MATCH($A13, 대여현황!$A:$A, 0)), INDEX(대여현황!F:F, MATCH($A13, 대여현황!$A:$A, 0)), "-")</f>
        <v>-</v>
      </c>
    </row>
    <row r="14" spans="1:18" ht="20" customHeight="1">
      <c r="A14" s="20">
        <v>12</v>
      </c>
      <c r="B14" s="21" t="s">
        <v>267</v>
      </c>
      <c r="C14" s="20" t="str">
        <f>IF(ISNUMBER(MATCH($A14, 대여현황!$A:$A, 0)), INDEX(대여현황!C:C, MATCH($A14, 대여현황!$A:$A, 0)), "")</f>
        <v/>
      </c>
      <c r="D14" s="20" t="str">
        <f>IF(ISNUMBER(MATCH($A14, 대여현황!$A:$A, 0)), INDEX(대여현황!D:D, MATCH($A14, 대여현황!$A:$A, 0)), "")</f>
        <v/>
      </c>
      <c r="E14" s="22" t="str">
        <f>IF(ISNUMBER(MATCH($A14, 대여현황!$A:$A, 0)), INDEX(대여현황!E:E, MATCH($A14, 대여현황!$A:$A, 0)), "")</f>
        <v/>
      </c>
      <c r="F14" s="22" t="str">
        <f>IF(ISNUMBER(MATCH($A14, 대여현황!$A:$A, 0)), INDEX(대여현황!F:F, MATCH($A14, 대여현황!$A:$A, 0)), "-")</f>
        <v>-</v>
      </c>
    </row>
    <row r="15" spans="1:18" ht="20" customHeight="1">
      <c r="A15" s="20">
        <v>13</v>
      </c>
      <c r="B15" s="21" t="s">
        <v>144</v>
      </c>
      <c r="C15" s="20" t="str">
        <f>IF(ISNUMBER(MATCH($A15, 대여현황!$A:$A, 0)), INDEX(대여현황!C:C, MATCH($A15, 대여현황!$A:$A, 0)), "")</f>
        <v/>
      </c>
      <c r="D15" s="20" t="str">
        <f>IF(ISNUMBER(MATCH($A15, 대여현황!$A:$A, 0)), INDEX(대여현황!D:D, MATCH($A15, 대여현황!$A:$A, 0)), "")</f>
        <v/>
      </c>
      <c r="E15" s="22" t="str">
        <f>IF(ISNUMBER(MATCH($A15, 대여현황!$A:$A, 0)), INDEX(대여현황!E:E, MATCH($A15, 대여현황!$A:$A, 0)), "")</f>
        <v/>
      </c>
      <c r="F15" s="22" t="str">
        <f>IF(ISNUMBER(MATCH($A15, 대여현황!$A:$A, 0)), INDEX(대여현황!F:F, MATCH($A15, 대여현황!$A:$A, 0)), "-")</f>
        <v>-</v>
      </c>
    </row>
    <row r="16" spans="1:18" ht="20" customHeight="1">
      <c r="A16" s="20">
        <v>14</v>
      </c>
      <c r="B16" s="21" t="s">
        <v>144</v>
      </c>
      <c r="C16" s="20" t="str">
        <f>IF(ISNUMBER(MATCH($A16, 대여현황!$A:$A, 0)), INDEX(대여현황!C:C, MATCH($A16, 대여현황!$A:$A, 0)), "")</f>
        <v/>
      </c>
      <c r="D16" s="20" t="str">
        <f>IF(ISNUMBER(MATCH($A16, 대여현황!$A:$A, 0)), INDEX(대여현황!D:D, MATCH($A16, 대여현황!$A:$A, 0)), "")</f>
        <v/>
      </c>
      <c r="E16" s="22" t="str">
        <f>IF(ISNUMBER(MATCH($A16, 대여현황!$A:$A, 0)), INDEX(대여현황!E:E, MATCH($A16, 대여현황!$A:$A, 0)), "")</f>
        <v/>
      </c>
      <c r="F16" s="22" t="str">
        <f>IF(ISNUMBER(MATCH($A16, 대여현황!$A:$A, 0)), INDEX(대여현황!F:F, MATCH($A16, 대여현황!$A:$A, 0)), "-")</f>
        <v>-</v>
      </c>
    </row>
    <row r="17" spans="1:6" ht="20" customHeight="1">
      <c r="A17" s="20">
        <v>15</v>
      </c>
      <c r="B17" s="21" t="s">
        <v>139</v>
      </c>
      <c r="C17" s="20" t="str">
        <f>IF(ISNUMBER(MATCH($A17, 대여현황!$A:$A, 0)), INDEX(대여현황!C:C, MATCH($A17, 대여현황!$A:$A, 0)), "")</f>
        <v/>
      </c>
      <c r="D17" s="20" t="str">
        <f>IF(ISNUMBER(MATCH($A17, 대여현황!$A:$A, 0)), INDEX(대여현황!D:D, MATCH($A17, 대여현황!$A:$A, 0)), "")</f>
        <v/>
      </c>
      <c r="E17" s="22" t="str">
        <f>IF(ISNUMBER(MATCH($A17, 대여현황!$A:$A, 0)), INDEX(대여현황!E:E, MATCH($A17, 대여현황!$A:$A, 0)), "")</f>
        <v/>
      </c>
      <c r="F17" s="22" t="str">
        <f>IF(ISNUMBER(MATCH($A17, 대여현황!$A:$A, 0)), INDEX(대여현황!F:F, MATCH($A17, 대여현황!$A:$A, 0)), "-")</f>
        <v>-</v>
      </c>
    </row>
    <row r="18" spans="1:6" ht="20" customHeight="1">
      <c r="A18" s="20">
        <v>16</v>
      </c>
      <c r="B18" s="21" t="s">
        <v>139</v>
      </c>
      <c r="C18" s="20" t="str">
        <f>IF(ISNUMBER(MATCH($A18, 대여현황!$A:$A, 0)), INDEX(대여현황!C:C, MATCH($A18, 대여현황!$A:$A, 0)), "")</f>
        <v/>
      </c>
      <c r="D18" s="20" t="str">
        <f>IF(ISNUMBER(MATCH($A18, 대여현황!$A:$A, 0)), INDEX(대여현황!D:D, MATCH($A18, 대여현황!$A:$A, 0)), "")</f>
        <v/>
      </c>
      <c r="E18" s="22" t="str">
        <f>IF(ISNUMBER(MATCH($A18, 대여현황!$A:$A, 0)), INDEX(대여현황!E:E, MATCH($A18, 대여현황!$A:$A, 0)), "")</f>
        <v/>
      </c>
      <c r="F18" s="22" t="str">
        <f>IF(ISNUMBER(MATCH($A18, 대여현황!$A:$A, 0)), INDEX(대여현황!F:F, MATCH($A18, 대여현황!$A:$A, 0)), "-")</f>
        <v>-</v>
      </c>
    </row>
    <row r="19" spans="1:6" ht="20" customHeight="1">
      <c r="A19" s="20">
        <v>17</v>
      </c>
      <c r="B19" s="21" t="s">
        <v>147</v>
      </c>
      <c r="C19" s="20" t="str">
        <f>IF(ISNUMBER(MATCH($A19, 대여현황!$A:$A, 0)), INDEX(대여현황!C:C, MATCH($A19, 대여현황!$A:$A, 0)), "")</f>
        <v/>
      </c>
      <c r="D19" s="20" t="str">
        <f>IF(ISNUMBER(MATCH($A19, 대여현황!$A:$A, 0)), INDEX(대여현황!D:D, MATCH($A19, 대여현황!$A:$A, 0)), "")</f>
        <v/>
      </c>
      <c r="E19" s="22" t="str">
        <f>IF(ISNUMBER(MATCH($A19, 대여현황!$A:$A, 0)), INDEX(대여현황!E:E, MATCH($A19, 대여현황!$A:$A, 0)), "")</f>
        <v/>
      </c>
      <c r="F19" s="22" t="str">
        <f>IF(ISNUMBER(MATCH($A19, 대여현황!$A:$A, 0)), INDEX(대여현황!F:F, MATCH($A19, 대여현황!$A:$A, 0)), "-")</f>
        <v>-</v>
      </c>
    </row>
    <row r="20" spans="1:6" ht="20" customHeight="1">
      <c r="A20" s="23">
        <v>18</v>
      </c>
      <c r="B20" s="21" t="s">
        <v>147</v>
      </c>
      <c r="C20" s="20" t="str">
        <f>IF(ISNUMBER(MATCH($A20, 대여현황!$A:$A, 0)), INDEX(대여현황!C:C, MATCH($A20, 대여현황!$A:$A, 0)), "")</f>
        <v/>
      </c>
      <c r="D20" s="20" t="str">
        <f>IF(ISNUMBER(MATCH($A20, 대여현황!$A:$A, 0)), INDEX(대여현황!D:D, MATCH($A20, 대여현황!$A:$A, 0)), "")</f>
        <v/>
      </c>
      <c r="E20" s="22" t="str">
        <f>IF(ISNUMBER(MATCH($A20, 대여현황!$A:$A, 0)), INDEX(대여현황!E:E, MATCH($A20, 대여현황!$A:$A, 0)), "")</f>
        <v/>
      </c>
      <c r="F20" s="22" t="str">
        <f>IF(ISNUMBER(MATCH($A20, 대여현황!$A:$A, 0)), INDEX(대여현황!F:F, MATCH($A20, 대여현황!$A:$A, 0)), "-")</f>
        <v>-</v>
      </c>
    </row>
    <row r="21" spans="1:6" ht="20" customHeight="1">
      <c r="A21" s="20">
        <v>19</v>
      </c>
      <c r="B21" s="21" t="s">
        <v>0</v>
      </c>
      <c r="C21" s="20" t="str">
        <f>IF(ISNUMBER(MATCH($A21, 대여현황!$A:$A, 0)), INDEX(대여현황!C:C, MATCH($A21, 대여현황!$A:$A, 0)), "")</f>
        <v/>
      </c>
      <c r="D21" s="20" t="str">
        <f>IF(ISNUMBER(MATCH($A21, 대여현황!$A:$A, 0)), INDEX(대여현황!D:D, MATCH($A21, 대여현황!$A:$A, 0)), "")</f>
        <v/>
      </c>
      <c r="E21" s="22" t="str">
        <f>IF(ISNUMBER(MATCH($A21, 대여현황!$A:$A, 0)), INDEX(대여현황!E:E, MATCH($A21, 대여현황!$A:$A, 0)), "")</f>
        <v/>
      </c>
      <c r="F21" s="22" t="str">
        <f>IF(ISNUMBER(MATCH($A21, 대여현황!$A:$A, 0)), INDEX(대여현황!F:F, MATCH($A21, 대여현황!$A:$A, 0)), "-")</f>
        <v>-</v>
      </c>
    </row>
    <row r="22" spans="1:6" ht="20" customHeight="1">
      <c r="A22" s="20">
        <v>20</v>
      </c>
      <c r="B22" s="21" t="s">
        <v>0</v>
      </c>
      <c r="C22" s="20" t="str">
        <f>IF(ISNUMBER(MATCH($A22, 대여현황!$A:$A, 0)), INDEX(대여현황!C:C, MATCH($A22, 대여현황!$A:$A, 0)), "")</f>
        <v/>
      </c>
      <c r="D22" s="20" t="str">
        <f>IF(ISNUMBER(MATCH($A22, 대여현황!$A:$A, 0)), INDEX(대여현황!D:D, MATCH($A22, 대여현황!$A:$A, 0)), "")</f>
        <v/>
      </c>
      <c r="E22" s="22" t="str">
        <f>IF(ISNUMBER(MATCH($A22, 대여현황!$A:$A, 0)), INDEX(대여현황!E:E, MATCH($A22, 대여현황!$A:$A, 0)), "")</f>
        <v/>
      </c>
      <c r="F22" s="22" t="str">
        <f>IF(ISNUMBER(MATCH($A22, 대여현황!$A:$A, 0)), INDEX(대여현황!F:F, MATCH($A22, 대여현황!$A:$A, 0)), "-")</f>
        <v>-</v>
      </c>
    </row>
    <row r="23" spans="1:6" ht="20" customHeight="1">
      <c r="A23" s="20">
        <v>21</v>
      </c>
      <c r="B23" s="21" t="s">
        <v>65</v>
      </c>
      <c r="C23" s="20" t="str">
        <f>IF(ISNUMBER(MATCH($A23, 대여현황!$A:$A, 0)), INDEX(대여현황!C:C, MATCH($A23, 대여현황!$A:$A, 0)), "")</f>
        <v/>
      </c>
      <c r="D23" s="20" t="str">
        <f>IF(ISNUMBER(MATCH($A23, 대여현황!$A:$A, 0)), INDEX(대여현황!D:D, MATCH($A23, 대여현황!$A:$A, 0)), "")</f>
        <v/>
      </c>
      <c r="E23" s="22" t="str">
        <f>IF(ISNUMBER(MATCH($A23, 대여현황!$A:$A, 0)), INDEX(대여현황!E:E, MATCH($A23, 대여현황!$A:$A, 0)), "")</f>
        <v/>
      </c>
      <c r="F23" s="22" t="str">
        <f>IF(ISNUMBER(MATCH($A23, 대여현황!$A:$A, 0)), INDEX(대여현황!F:F, MATCH($A23, 대여현황!$A:$A, 0)), "-")</f>
        <v>-</v>
      </c>
    </row>
    <row r="24" spans="1:6" ht="20" customHeight="1">
      <c r="A24" s="20">
        <v>22</v>
      </c>
      <c r="B24" s="21" t="s">
        <v>65</v>
      </c>
      <c r="C24" s="20" t="str">
        <f>IF(ISNUMBER(MATCH($A24, 대여현황!$A:$A, 0)), INDEX(대여현황!C:C, MATCH($A24, 대여현황!$A:$A, 0)), "")</f>
        <v/>
      </c>
      <c r="D24" s="20" t="str">
        <f>IF(ISNUMBER(MATCH($A24, 대여현황!$A:$A, 0)), INDEX(대여현황!D:D, MATCH($A24, 대여현황!$A:$A, 0)), "")</f>
        <v/>
      </c>
      <c r="E24" s="22" t="str">
        <f>IF(ISNUMBER(MATCH($A24, 대여현황!$A:$A, 0)), INDEX(대여현황!E:E, MATCH($A24, 대여현황!$A:$A, 0)), "")</f>
        <v/>
      </c>
      <c r="F24" s="22" t="str">
        <f>IF(ISNUMBER(MATCH($A24, 대여현황!$A:$A, 0)), INDEX(대여현황!F:F, MATCH($A24, 대여현황!$A:$A, 0)), "-")</f>
        <v>-</v>
      </c>
    </row>
    <row r="25" spans="1:6" ht="20" customHeight="1">
      <c r="A25" s="20">
        <v>23</v>
      </c>
      <c r="B25" s="21" t="s">
        <v>215</v>
      </c>
      <c r="C25" s="20" t="str">
        <f>IF(ISNUMBER(MATCH($A25, 대여현황!$A:$A, 0)), INDEX(대여현황!C:C, MATCH($A25, 대여현황!$A:$A, 0)), "")</f>
        <v/>
      </c>
      <c r="D25" s="20" t="str">
        <f>IF(ISNUMBER(MATCH($A25, 대여현황!$A:$A, 0)), INDEX(대여현황!D:D, MATCH($A25, 대여현황!$A:$A, 0)), "")</f>
        <v/>
      </c>
      <c r="E25" s="22" t="str">
        <f>IF(ISNUMBER(MATCH($A25, 대여현황!$A:$A, 0)), INDEX(대여현황!E:E, MATCH($A25, 대여현황!$A:$A, 0)), "")</f>
        <v/>
      </c>
      <c r="F25" s="22" t="str">
        <f>IF(ISNUMBER(MATCH($A25, 대여현황!$A:$A, 0)), INDEX(대여현황!F:F, MATCH($A25, 대여현황!$A:$A, 0)), "-")</f>
        <v>-</v>
      </c>
    </row>
    <row r="26" spans="1:6" ht="20" customHeight="1">
      <c r="A26" s="20">
        <v>24</v>
      </c>
      <c r="B26" s="21" t="s">
        <v>215</v>
      </c>
      <c r="C26" s="20" t="str">
        <f>IF(ISNUMBER(MATCH($A26, 대여현황!$A:$A, 0)), INDEX(대여현황!C:C, MATCH($A26, 대여현황!$A:$A, 0)), "")</f>
        <v/>
      </c>
      <c r="D26" s="20" t="str">
        <f>IF(ISNUMBER(MATCH($A26, 대여현황!$A:$A, 0)), INDEX(대여현황!D:D, MATCH($A26, 대여현황!$A:$A, 0)), "")</f>
        <v/>
      </c>
      <c r="E26" s="22" t="str">
        <f>IF(ISNUMBER(MATCH($A26, 대여현황!$A:$A, 0)), INDEX(대여현황!E:E, MATCH($A26, 대여현황!$A:$A, 0)), "")</f>
        <v/>
      </c>
      <c r="F26" s="22" t="str">
        <f>IF(ISNUMBER(MATCH($A26, 대여현황!$A:$A, 0)), INDEX(대여현황!F:F, MATCH($A26, 대여현황!$A:$A, 0)), "-")</f>
        <v>-</v>
      </c>
    </row>
    <row r="27" spans="1:6" ht="20" customHeight="1">
      <c r="A27" s="20">
        <v>25</v>
      </c>
      <c r="B27" s="21" t="s">
        <v>208</v>
      </c>
      <c r="C27" s="20" t="str">
        <f>IF(ISNUMBER(MATCH($A27, 대여현황!$A:$A, 0)), INDEX(대여현황!C:C, MATCH($A27, 대여현황!$A:$A, 0)), "")</f>
        <v/>
      </c>
      <c r="D27" s="20" t="str">
        <f>IF(ISNUMBER(MATCH($A27, 대여현황!$A:$A, 0)), INDEX(대여현황!D:D, MATCH($A27, 대여현황!$A:$A, 0)), "")</f>
        <v/>
      </c>
      <c r="E27" s="22" t="str">
        <f>IF(ISNUMBER(MATCH($A27, 대여현황!$A:$A, 0)), INDEX(대여현황!E:E, MATCH($A27, 대여현황!$A:$A, 0)), "")</f>
        <v/>
      </c>
      <c r="F27" s="22" t="str">
        <f>IF(ISNUMBER(MATCH($A27, 대여현황!$A:$A, 0)), INDEX(대여현황!F:F, MATCH($A27, 대여현황!$A:$A, 0)), "-")</f>
        <v>-</v>
      </c>
    </row>
    <row r="28" spans="1:6" ht="20" customHeight="1">
      <c r="A28" s="20">
        <v>26</v>
      </c>
      <c r="B28" s="21" t="s">
        <v>208</v>
      </c>
      <c r="C28" s="20" t="str">
        <f>IF(ISNUMBER(MATCH($A28, 대여현황!$A:$A, 0)), INDEX(대여현황!C:C, MATCH($A28, 대여현황!$A:$A, 0)), "")</f>
        <v/>
      </c>
      <c r="D28" s="20" t="str">
        <f>IF(ISNUMBER(MATCH($A28, 대여현황!$A:$A, 0)), INDEX(대여현황!D:D, MATCH($A28, 대여현황!$A:$A, 0)), "")</f>
        <v/>
      </c>
      <c r="E28" s="22" t="str">
        <f>IF(ISNUMBER(MATCH($A28, 대여현황!$A:$A, 0)), INDEX(대여현황!E:E, MATCH($A28, 대여현황!$A:$A, 0)), "")</f>
        <v/>
      </c>
      <c r="F28" s="22" t="str">
        <f>IF(ISNUMBER(MATCH($A28, 대여현황!$A:$A, 0)), INDEX(대여현황!F:F, MATCH($A28, 대여현황!$A:$A, 0)), "-")</f>
        <v>-</v>
      </c>
    </row>
    <row r="29" spans="1:6" ht="20" customHeight="1">
      <c r="A29" s="20">
        <v>27</v>
      </c>
      <c r="B29" s="21" t="s">
        <v>296</v>
      </c>
      <c r="C29" s="20" t="str">
        <f>IF(ISNUMBER(MATCH($A29, 대여현황!$A:$A, 0)), INDEX(대여현황!C:C, MATCH($A29, 대여현황!$A:$A, 0)), "")</f>
        <v/>
      </c>
      <c r="D29" s="20" t="str">
        <f>IF(ISNUMBER(MATCH($A29, 대여현황!$A:$A, 0)), INDEX(대여현황!D:D, MATCH($A29, 대여현황!$A:$A, 0)), "")</f>
        <v/>
      </c>
      <c r="E29" s="22" t="str">
        <f>IF(ISNUMBER(MATCH($A29, 대여현황!$A:$A, 0)), INDEX(대여현황!E:E, MATCH($A29, 대여현황!$A:$A, 0)), "")</f>
        <v/>
      </c>
      <c r="F29" s="22" t="str">
        <f>IF(ISNUMBER(MATCH($A29, 대여현황!$A:$A, 0)), INDEX(대여현황!F:F, MATCH($A29, 대여현황!$A:$A, 0)), "-")</f>
        <v>-</v>
      </c>
    </row>
    <row r="30" spans="1:6" ht="20" customHeight="1">
      <c r="A30" s="20">
        <v>28</v>
      </c>
      <c r="B30" s="21" t="s">
        <v>296</v>
      </c>
      <c r="C30" s="20" t="str">
        <f>IF(ISNUMBER(MATCH($A30, 대여현황!$A:$A, 0)), INDEX(대여현황!C:C, MATCH($A30, 대여현황!$A:$A, 0)), "")</f>
        <v/>
      </c>
      <c r="D30" s="20" t="str">
        <f>IF(ISNUMBER(MATCH($A30, 대여현황!$A:$A, 0)), INDEX(대여현황!D:D, MATCH($A30, 대여현황!$A:$A, 0)), "")</f>
        <v/>
      </c>
      <c r="E30" s="22" t="str">
        <f>IF(ISNUMBER(MATCH($A30, 대여현황!$A:$A, 0)), INDEX(대여현황!E:E, MATCH($A30, 대여현황!$A:$A, 0)), "")</f>
        <v/>
      </c>
      <c r="F30" s="22" t="str">
        <f>IF(ISNUMBER(MATCH($A30, 대여현황!$A:$A, 0)), INDEX(대여현황!F:F, MATCH($A30, 대여현황!$A:$A, 0)), "-")</f>
        <v>-</v>
      </c>
    </row>
    <row r="31" spans="1:6" ht="20" customHeight="1">
      <c r="A31" s="20">
        <v>29</v>
      </c>
      <c r="B31" s="21" t="s">
        <v>280</v>
      </c>
      <c r="C31" s="20" t="str">
        <f>IF(ISNUMBER(MATCH($A31, 대여현황!$A:$A, 0)), INDEX(대여현황!C:C, MATCH($A31, 대여현황!$A:$A, 0)), "")</f>
        <v/>
      </c>
      <c r="D31" s="20" t="str">
        <f>IF(ISNUMBER(MATCH($A31, 대여현황!$A:$A, 0)), INDEX(대여현황!D:D, MATCH($A31, 대여현황!$A:$A, 0)), "")</f>
        <v/>
      </c>
      <c r="E31" s="22" t="str">
        <f>IF(ISNUMBER(MATCH($A31, 대여현황!$A:$A, 0)), INDEX(대여현황!E:E, MATCH($A31, 대여현황!$A:$A, 0)), "")</f>
        <v/>
      </c>
      <c r="F31" s="22" t="str">
        <f>IF(ISNUMBER(MATCH($A31, 대여현황!$A:$A, 0)), INDEX(대여현황!F:F, MATCH($A31, 대여현황!$A:$A, 0)), "-")</f>
        <v>-</v>
      </c>
    </row>
    <row r="32" spans="1:6" ht="20" customHeight="1">
      <c r="A32" s="20">
        <v>30</v>
      </c>
      <c r="B32" s="21" t="s">
        <v>280</v>
      </c>
      <c r="C32" s="20" t="str">
        <f>IF(ISNUMBER(MATCH($A32, 대여현황!$A:$A, 0)), INDEX(대여현황!C:C, MATCH($A32, 대여현황!$A:$A, 0)), "")</f>
        <v/>
      </c>
      <c r="D32" s="20" t="str">
        <f>IF(ISNUMBER(MATCH($A32, 대여현황!$A:$A, 0)), INDEX(대여현황!D:D, MATCH($A32, 대여현황!$A:$A, 0)), "")</f>
        <v/>
      </c>
      <c r="E32" s="22" t="str">
        <f>IF(ISNUMBER(MATCH($A32, 대여현황!$A:$A, 0)), INDEX(대여현황!E:E, MATCH($A32, 대여현황!$A:$A, 0)), "")</f>
        <v/>
      </c>
      <c r="F32" s="22" t="str">
        <f>IF(ISNUMBER(MATCH($A32, 대여현황!$A:$A, 0)), INDEX(대여현황!F:F, MATCH($A32, 대여현황!$A:$A, 0)), "-")</f>
        <v>-</v>
      </c>
    </row>
    <row r="33" spans="1:6" ht="20" customHeight="1">
      <c r="A33" s="20">
        <v>31</v>
      </c>
      <c r="B33" s="21" t="s">
        <v>265</v>
      </c>
      <c r="C33" s="20" t="str">
        <f>IF(ISNUMBER(MATCH($A33, 대여현황!$A:$A, 0)), INDEX(대여현황!C:C, MATCH($A33, 대여현황!$A:$A, 0)), "")</f>
        <v/>
      </c>
      <c r="D33" s="20" t="str">
        <f>IF(ISNUMBER(MATCH($A33, 대여현황!$A:$A, 0)), INDEX(대여현황!D:D, MATCH($A33, 대여현황!$A:$A, 0)), "")</f>
        <v/>
      </c>
      <c r="E33" s="22" t="str">
        <f>IF(ISNUMBER(MATCH($A33, 대여현황!$A:$A, 0)), INDEX(대여현황!E:E, MATCH($A33, 대여현황!$A:$A, 0)), "")</f>
        <v/>
      </c>
      <c r="F33" s="22" t="str">
        <f>IF(ISNUMBER(MATCH($A33, 대여현황!$A:$A, 0)), INDEX(대여현황!F:F, MATCH($A33, 대여현황!$A:$A, 0)), "-")</f>
        <v>-</v>
      </c>
    </row>
    <row r="34" spans="1:6" ht="20" customHeight="1">
      <c r="A34" s="20">
        <v>32</v>
      </c>
      <c r="B34" s="21" t="s">
        <v>265</v>
      </c>
      <c r="C34" s="20" t="str">
        <f>IF(ISNUMBER(MATCH($A34, 대여현황!$A:$A, 0)), INDEX(대여현황!C:C, MATCH($A34, 대여현황!$A:$A, 0)), "")</f>
        <v/>
      </c>
      <c r="D34" s="20" t="str">
        <f>IF(ISNUMBER(MATCH($A34, 대여현황!$A:$A, 0)), INDEX(대여현황!D:D, MATCH($A34, 대여현황!$A:$A, 0)), "")</f>
        <v/>
      </c>
      <c r="E34" s="22" t="str">
        <f>IF(ISNUMBER(MATCH($A34, 대여현황!$A:$A, 0)), INDEX(대여현황!E:E, MATCH($A34, 대여현황!$A:$A, 0)), "")</f>
        <v/>
      </c>
      <c r="F34" s="22" t="str">
        <f>IF(ISNUMBER(MATCH($A34, 대여현황!$A:$A, 0)), INDEX(대여현황!F:F, MATCH($A34, 대여현황!$A:$A, 0)), "-")</f>
        <v>-</v>
      </c>
    </row>
    <row r="35" spans="1:6" ht="20" customHeight="1">
      <c r="A35" s="20">
        <v>33</v>
      </c>
      <c r="B35" s="21" t="s">
        <v>281</v>
      </c>
      <c r="C35" s="20" t="str">
        <f>IF(ISNUMBER(MATCH($A35, 대여현황!$A:$A, 0)), INDEX(대여현황!C:C, MATCH($A35, 대여현황!$A:$A, 0)), "")</f>
        <v/>
      </c>
      <c r="D35" s="20" t="str">
        <f>IF(ISNUMBER(MATCH($A35, 대여현황!$A:$A, 0)), INDEX(대여현황!D:D, MATCH($A35, 대여현황!$A:$A, 0)), "")</f>
        <v/>
      </c>
      <c r="E35" s="22" t="str">
        <f>IF(ISNUMBER(MATCH($A35, 대여현황!$A:$A, 0)), INDEX(대여현황!E:E, MATCH($A35, 대여현황!$A:$A, 0)), "")</f>
        <v/>
      </c>
      <c r="F35" s="22" t="str">
        <f>IF(ISNUMBER(MATCH($A35, 대여현황!$A:$A, 0)), INDEX(대여현황!F:F, MATCH($A35, 대여현황!$A:$A, 0)), "-")</f>
        <v>-</v>
      </c>
    </row>
    <row r="36" spans="1:6" ht="20" customHeight="1">
      <c r="A36" s="20">
        <v>34</v>
      </c>
      <c r="B36" s="21" t="s">
        <v>281</v>
      </c>
      <c r="C36" s="20" t="str">
        <f>IF(ISNUMBER(MATCH($A36, 대여현황!$A:$A, 0)), INDEX(대여현황!C:C, MATCH($A36, 대여현황!$A:$A, 0)), "")</f>
        <v/>
      </c>
      <c r="D36" s="20" t="str">
        <f>IF(ISNUMBER(MATCH($A36, 대여현황!$A:$A, 0)), INDEX(대여현황!D:D, MATCH($A36, 대여현황!$A:$A, 0)), "")</f>
        <v/>
      </c>
      <c r="E36" s="22" t="str">
        <f>IF(ISNUMBER(MATCH($A36, 대여현황!$A:$A, 0)), INDEX(대여현황!E:E, MATCH($A36, 대여현황!$A:$A, 0)), "")</f>
        <v/>
      </c>
      <c r="F36" s="22" t="str">
        <f>IF(ISNUMBER(MATCH($A36, 대여현황!$A:$A, 0)), INDEX(대여현황!F:F, MATCH($A36, 대여현황!$A:$A, 0)), "-")</f>
        <v>-</v>
      </c>
    </row>
    <row r="37" spans="1:6" ht="20" customHeight="1">
      <c r="A37" s="20">
        <v>35</v>
      </c>
      <c r="B37" s="21" t="s">
        <v>233</v>
      </c>
      <c r="C37" s="20" t="str">
        <f>IF(ISNUMBER(MATCH($A37, 대여현황!$A:$A, 0)), INDEX(대여현황!C:C, MATCH($A37, 대여현황!$A:$A, 0)), "")</f>
        <v/>
      </c>
      <c r="D37" s="20" t="str">
        <f>IF(ISNUMBER(MATCH($A37, 대여현황!$A:$A, 0)), INDEX(대여현황!D:D, MATCH($A37, 대여현황!$A:$A, 0)), "")</f>
        <v/>
      </c>
      <c r="E37" s="22" t="str">
        <f>IF(ISNUMBER(MATCH($A37, 대여현황!$A:$A, 0)), INDEX(대여현황!E:E, MATCH($A37, 대여현황!$A:$A, 0)), "")</f>
        <v/>
      </c>
      <c r="F37" s="22" t="str">
        <f>IF(ISNUMBER(MATCH($A37, 대여현황!$A:$A, 0)), INDEX(대여현황!F:F, MATCH($A37, 대여현황!$A:$A, 0)), "-")</f>
        <v>-</v>
      </c>
    </row>
    <row r="38" spans="1:6" ht="20" customHeight="1">
      <c r="A38" s="20">
        <v>36</v>
      </c>
      <c r="B38" s="21" t="s">
        <v>233</v>
      </c>
      <c r="C38" s="20" t="str">
        <f>IF(ISNUMBER(MATCH($A38, 대여현황!$A:$A, 0)), INDEX(대여현황!C:C, MATCH($A38, 대여현황!$A:$A, 0)), "")</f>
        <v/>
      </c>
      <c r="D38" s="20" t="str">
        <f>IF(ISNUMBER(MATCH($A38, 대여현황!$A:$A, 0)), INDEX(대여현황!D:D, MATCH($A38, 대여현황!$A:$A, 0)), "")</f>
        <v/>
      </c>
      <c r="E38" s="22" t="str">
        <f>IF(ISNUMBER(MATCH($A38, 대여현황!$A:$A, 0)), INDEX(대여현황!E:E, MATCH($A38, 대여현황!$A:$A, 0)), "")</f>
        <v/>
      </c>
      <c r="F38" s="22" t="str">
        <f>IF(ISNUMBER(MATCH($A38, 대여현황!$A:$A, 0)), INDEX(대여현황!F:F, MATCH($A38, 대여현황!$A:$A, 0)), "-")</f>
        <v>-</v>
      </c>
    </row>
    <row r="39" spans="1:6" ht="20" customHeight="1">
      <c r="A39" s="20">
        <v>37</v>
      </c>
      <c r="B39" s="21" t="s">
        <v>277</v>
      </c>
      <c r="C39" s="20" t="str">
        <f>IF(ISNUMBER(MATCH($A39, 대여현황!$A:$A, 0)), INDEX(대여현황!C:C, MATCH($A39, 대여현황!$A:$A, 0)), "")</f>
        <v/>
      </c>
      <c r="D39" s="20" t="str">
        <f>IF(ISNUMBER(MATCH($A39, 대여현황!$A:$A, 0)), INDEX(대여현황!D:D, MATCH($A39, 대여현황!$A:$A, 0)), "")</f>
        <v/>
      </c>
      <c r="E39" s="22" t="str">
        <f>IF(ISNUMBER(MATCH($A39, 대여현황!$A:$A, 0)), INDEX(대여현황!E:E, MATCH($A39, 대여현황!$A:$A, 0)), "")</f>
        <v/>
      </c>
      <c r="F39" s="22" t="str">
        <f>IF(ISNUMBER(MATCH($A39, 대여현황!$A:$A, 0)), INDEX(대여현황!F:F, MATCH($A39, 대여현황!$A:$A, 0)), "-")</f>
        <v>-</v>
      </c>
    </row>
    <row r="40" spans="1:6" ht="20" customHeight="1">
      <c r="A40" s="20">
        <v>38</v>
      </c>
      <c r="B40" s="21" t="s">
        <v>277</v>
      </c>
      <c r="C40" s="20" t="str">
        <f>IF(ISNUMBER(MATCH($A40, 대여현황!$A:$A, 0)), INDEX(대여현황!C:C, MATCH($A40, 대여현황!$A:$A, 0)), "")</f>
        <v/>
      </c>
      <c r="D40" s="20" t="str">
        <f>IF(ISNUMBER(MATCH($A40, 대여현황!$A:$A, 0)), INDEX(대여현황!D:D, MATCH($A40, 대여현황!$A:$A, 0)), "")</f>
        <v/>
      </c>
      <c r="E40" s="22" t="str">
        <f>IF(ISNUMBER(MATCH($A40, 대여현황!$A:$A, 0)), INDEX(대여현황!E:E, MATCH($A40, 대여현황!$A:$A, 0)), "")</f>
        <v/>
      </c>
      <c r="F40" s="22" t="str">
        <f>IF(ISNUMBER(MATCH($A40, 대여현황!$A:$A, 0)), INDEX(대여현황!F:F, MATCH($A40, 대여현황!$A:$A, 0)), "-")</f>
        <v>-</v>
      </c>
    </row>
    <row r="41" spans="1:6" ht="20" customHeight="1">
      <c r="A41" s="20">
        <v>39</v>
      </c>
      <c r="B41" s="21" t="s">
        <v>273</v>
      </c>
      <c r="C41" s="20" t="str">
        <f>IF(ISNUMBER(MATCH($A41, 대여현황!$A:$A, 0)), INDEX(대여현황!C:C, MATCH($A41, 대여현황!$A:$A, 0)), "")</f>
        <v/>
      </c>
      <c r="D41" s="20" t="str">
        <f>IF(ISNUMBER(MATCH($A41, 대여현황!$A:$A, 0)), INDEX(대여현황!D:D, MATCH($A41, 대여현황!$A:$A, 0)), "")</f>
        <v/>
      </c>
      <c r="E41" s="22" t="str">
        <f>IF(ISNUMBER(MATCH($A41, 대여현황!$A:$A, 0)), INDEX(대여현황!E:E, MATCH($A41, 대여현황!$A:$A, 0)), "")</f>
        <v/>
      </c>
      <c r="F41" s="22" t="str">
        <f>IF(ISNUMBER(MATCH($A41, 대여현황!$A:$A, 0)), INDEX(대여현황!F:F, MATCH($A41, 대여현황!$A:$A, 0)), "-")</f>
        <v>-</v>
      </c>
    </row>
    <row r="42" spans="1:6" ht="20" customHeight="1">
      <c r="A42" s="20">
        <v>40</v>
      </c>
      <c r="B42" s="21" t="s">
        <v>273</v>
      </c>
      <c r="C42" s="20" t="str">
        <f>IF(ISNUMBER(MATCH($A42, 대여현황!$A:$A, 0)), INDEX(대여현황!C:C, MATCH($A42, 대여현황!$A:$A, 0)), "")</f>
        <v/>
      </c>
      <c r="D42" s="20" t="str">
        <f>IF(ISNUMBER(MATCH($A42, 대여현황!$A:$A, 0)), INDEX(대여현황!D:D, MATCH($A42, 대여현황!$A:$A, 0)), "")</f>
        <v/>
      </c>
      <c r="E42" s="22" t="str">
        <f>IF(ISNUMBER(MATCH($A42, 대여현황!$A:$A, 0)), INDEX(대여현황!E:E, MATCH($A42, 대여현황!$A:$A, 0)), "")</f>
        <v/>
      </c>
      <c r="F42" s="22" t="str">
        <f>IF(ISNUMBER(MATCH($A42, 대여현황!$A:$A, 0)), INDEX(대여현황!F:F, MATCH($A42, 대여현황!$A:$A, 0)), "-")</f>
        <v>-</v>
      </c>
    </row>
    <row r="43" spans="1:6" ht="20" customHeight="1">
      <c r="A43" s="20">
        <v>41</v>
      </c>
      <c r="B43" s="21" t="s">
        <v>272</v>
      </c>
      <c r="C43" s="20" t="str">
        <f>IF(ISNUMBER(MATCH($A43, 대여현황!$A:$A, 0)), INDEX(대여현황!C:C, MATCH($A43, 대여현황!$A:$A, 0)), "")</f>
        <v/>
      </c>
      <c r="D43" s="20" t="str">
        <f>IF(ISNUMBER(MATCH($A43, 대여현황!$A:$A, 0)), INDEX(대여현황!D:D, MATCH($A43, 대여현황!$A:$A, 0)), "")</f>
        <v/>
      </c>
      <c r="E43" s="22" t="str">
        <f>IF(ISNUMBER(MATCH($A43, 대여현황!$A:$A, 0)), INDEX(대여현황!E:E, MATCH($A43, 대여현황!$A:$A, 0)), "")</f>
        <v/>
      </c>
      <c r="F43" s="22" t="str">
        <f>IF(ISNUMBER(MATCH($A43, 대여현황!$A:$A, 0)), INDEX(대여현황!F:F, MATCH($A43, 대여현황!$A:$A, 0)), "-")</f>
        <v>-</v>
      </c>
    </row>
    <row r="44" spans="1:6" ht="20" customHeight="1">
      <c r="A44" s="20">
        <v>42</v>
      </c>
      <c r="B44" s="21" t="s">
        <v>24</v>
      </c>
      <c r="C44" s="20" t="str">
        <f>IF(ISNUMBER(MATCH($A44, 대여현황!$A:$A, 0)), INDEX(대여현황!C:C, MATCH($A44, 대여현황!$A:$A, 0)), "")</f>
        <v/>
      </c>
      <c r="D44" s="20" t="str">
        <f>IF(ISNUMBER(MATCH($A44, 대여현황!$A:$A, 0)), INDEX(대여현황!D:D, MATCH($A44, 대여현황!$A:$A, 0)), "")</f>
        <v/>
      </c>
      <c r="E44" s="22" t="str">
        <f>IF(ISNUMBER(MATCH($A44, 대여현황!$A:$A, 0)), INDEX(대여현황!E:E, MATCH($A44, 대여현황!$A:$A, 0)), "")</f>
        <v/>
      </c>
      <c r="F44" s="22" t="str">
        <f>IF(ISNUMBER(MATCH($A44, 대여현황!$A:$A, 0)), INDEX(대여현황!F:F, MATCH($A44, 대여현황!$A:$A, 0)), "-")</f>
        <v>-</v>
      </c>
    </row>
    <row r="45" spans="1:6" ht="20" customHeight="1">
      <c r="A45" s="20">
        <v>43</v>
      </c>
      <c r="B45" s="21" t="s">
        <v>135</v>
      </c>
      <c r="C45" s="20" t="str">
        <f>IF(ISNUMBER(MATCH($A45, 대여현황!$A:$A, 0)), INDEX(대여현황!C:C, MATCH($A45, 대여현황!$A:$A, 0)), "")</f>
        <v/>
      </c>
      <c r="D45" s="20" t="str">
        <f>IF(ISNUMBER(MATCH($A45, 대여현황!$A:$A, 0)), INDEX(대여현황!D:D, MATCH($A45, 대여현황!$A:$A, 0)), "")</f>
        <v/>
      </c>
      <c r="E45" s="22" t="str">
        <f>IF(ISNUMBER(MATCH($A45, 대여현황!$A:$A, 0)), INDEX(대여현황!E:E, MATCH($A45, 대여현황!$A:$A, 0)), "")</f>
        <v/>
      </c>
      <c r="F45" s="22" t="str">
        <f>IF(ISNUMBER(MATCH($A45, 대여현황!$A:$A, 0)), INDEX(대여현황!F:F, MATCH($A45, 대여현황!$A:$A, 0)), "-")</f>
        <v>-</v>
      </c>
    </row>
    <row r="46" spans="1:6" ht="20" customHeight="1">
      <c r="A46" s="20">
        <v>44</v>
      </c>
      <c r="B46" s="21" t="s">
        <v>135</v>
      </c>
      <c r="C46" s="20" t="str">
        <f>IF(ISNUMBER(MATCH($A46, 대여현황!$A:$A, 0)), INDEX(대여현황!C:C, MATCH($A46, 대여현황!$A:$A, 0)), "")</f>
        <v/>
      </c>
      <c r="D46" s="20" t="str">
        <f>IF(ISNUMBER(MATCH($A46, 대여현황!$A:$A, 0)), INDEX(대여현황!D:D, MATCH($A46, 대여현황!$A:$A, 0)), "")</f>
        <v/>
      </c>
      <c r="E46" s="22" t="str">
        <f>IF(ISNUMBER(MATCH($A46, 대여현황!$A:$A, 0)), INDEX(대여현황!E:E, MATCH($A46, 대여현황!$A:$A, 0)), "")</f>
        <v/>
      </c>
      <c r="F46" s="22" t="str">
        <f>IF(ISNUMBER(MATCH($A46, 대여현황!$A:$A, 0)), INDEX(대여현황!F:F, MATCH($A46, 대여현황!$A:$A, 0)), "-")</f>
        <v>-</v>
      </c>
    </row>
    <row r="47" spans="1:6" ht="20" customHeight="1">
      <c r="A47" s="20">
        <v>45</v>
      </c>
      <c r="B47" s="21" t="s">
        <v>278</v>
      </c>
      <c r="C47" s="20" t="str">
        <f>IF(ISNUMBER(MATCH($A47, 대여현황!$A:$A, 0)), INDEX(대여현황!C:C, MATCH($A47, 대여현황!$A:$A, 0)), "")</f>
        <v/>
      </c>
      <c r="D47" s="20" t="str">
        <f>IF(ISNUMBER(MATCH($A47, 대여현황!$A:$A, 0)), INDEX(대여현황!D:D, MATCH($A47, 대여현황!$A:$A, 0)), "")</f>
        <v/>
      </c>
      <c r="E47" s="22" t="str">
        <f>IF(ISNUMBER(MATCH($A47, 대여현황!$A:$A, 0)), INDEX(대여현황!E:E, MATCH($A47, 대여현황!$A:$A, 0)), "")</f>
        <v/>
      </c>
      <c r="F47" s="22" t="str">
        <f>IF(ISNUMBER(MATCH($A47, 대여현황!$A:$A, 0)), INDEX(대여현황!F:F, MATCH($A47, 대여현황!$A:$A, 0)), "-")</f>
        <v>-</v>
      </c>
    </row>
    <row r="48" spans="1:6" ht="20" customHeight="1">
      <c r="A48" s="20">
        <v>46</v>
      </c>
      <c r="B48" s="21" t="s">
        <v>278</v>
      </c>
      <c r="C48" s="20" t="str">
        <f>IF(ISNUMBER(MATCH($A48, 대여현황!$A:$A, 0)), INDEX(대여현황!C:C, MATCH($A48, 대여현황!$A:$A, 0)), "")</f>
        <v/>
      </c>
      <c r="D48" s="20" t="str">
        <f>IF(ISNUMBER(MATCH($A48, 대여현황!$A:$A, 0)), INDEX(대여현황!D:D, MATCH($A48, 대여현황!$A:$A, 0)), "")</f>
        <v/>
      </c>
      <c r="E48" s="22" t="str">
        <f>IF(ISNUMBER(MATCH($A48, 대여현황!$A:$A, 0)), INDEX(대여현황!E:E, MATCH($A48, 대여현황!$A:$A, 0)), "")</f>
        <v/>
      </c>
      <c r="F48" s="22" t="str">
        <f>IF(ISNUMBER(MATCH($A48, 대여현황!$A:$A, 0)), INDEX(대여현황!F:F, MATCH($A48, 대여현황!$A:$A, 0)), "-")</f>
        <v>-</v>
      </c>
    </row>
    <row r="49" spans="1:6" ht="20" customHeight="1">
      <c r="A49" s="20">
        <v>47</v>
      </c>
      <c r="B49" s="21" t="s">
        <v>132</v>
      </c>
      <c r="C49" s="20" t="str">
        <f>IF(ISNUMBER(MATCH($A49, 대여현황!$A:$A, 0)), INDEX(대여현황!C:C, MATCH($A49, 대여현황!$A:$A, 0)), "")</f>
        <v/>
      </c>
      <c r="D49" s="20" t="str">
        <f>IF(ISNUMBER(MATCH($A49, 대여현황!$A:$A, 0)), INDEX(대여현황!D:D, MATCH($A49, 대여현황!$A:$A, 0)), "")</f>
        <v/>
      </c>
      <c r="E49" s="22" t="str">
        <f>IF(ISNUMBER(MATCH($A49, 대여현황!$A:$A, 0)), INDEX(대여현황!E:E, MATCH($A49, 대여현황!$A:$A, 0)), "")</f>
        <v/>
      </c>
      <c r="F49" s="22" t="str">
        <f>IF(ISNUMBER(MATCH($A49, 대여현황!$A:$A, 0)), INDEX(대여현황!F:F, MATCH($A49, 대여현황!$A:$A, 0)), "-")</f>
        <v>-</v>
      </c>
    </row>
    <row r="50" spans="1:6" ht="20" customHeight="1">
      <c r="A50" s="20">
        <v>48</v>
      </c>
      <c r="B50" s="21" t="s">
        <v>132</v>
      </c>
      <c r="C50" s="20" t="str">
        <f>IF(ISNUMBER(MATCH($A50, 대여현황!$A:$A, 0)), INDEX(대여현황!C:C, MATCH($A50, 대여현황!$A:$A, 0)), "")</f>
        <v/>
      </c>
      <c r="D50" s="20" t="str">
        <f>IF(ISNUMBER(MATCH($A50, 대여현황!$A:$A, 0)), INDEX(대여현황!D:D, MATCH($A50, 대여현황!$A:$A, 0)), "")</f>
        <v/>
      </c>
      <c r="E50" s="22" t="str">
        <f>IF(ISNUMBER(MATCH($A50, 대여현황!$A:$A, 0)), INDEX(대여현황!E:E, MATCH($A50, 대여현황!$A:$A, 0)), "")</f>
        <v/>
      </c>
      <c r="F50" s="22" t="str">
        <f>IF(ISNUMBER(MATCH($A50, 대여현황!$A:$A, 0)), INDEX(대여현황!F:F, MATCH($A50, 대여현황!$A:$A, 0)), "-")</f>
        <v>-</v>
      </c>
    </row>
    <row r="51" spans="1:6" ht="20" customHeight="1">
      <c r="A51" s="20">
        <v>49</v>
      </c>
      <c r="B51" s="21" t="s">
        <v>271</v>
      </c>
      <c r="C51" s="20" t="str">
        <f>IF(ISNUMBER(MATCH($A51, 대여현황!$A:$A, 0)), INDEX(대여현황!C:C, MATCH($A51, 대여현황!$A:$A, 0)), "")</f>
        <v/>
      </c>
      <c r="D51" s="20" t="str">
        <f>IF(ISNUMBER(MATCH($A51, 대여현황!$A:$A, 0)), INDEX(대여현황!D:D, MATCH($A51, 대여현황!$A:$A, 0)), "")</f>
        <v/>
      </c>
      <c r="E51" s="22" t="str">
        <f>IF(ISNUMBER(MATCH($A51, 대여현황!$A:$A, 0)), INDEX(대여현황!E:E, MATCH($A51, 대여현황!$A:$A, 0)), "")</f>
        <v/>
      </c>
      <c r="F51" s="22" t="str">
        <f>IF(ISNUMBER(MATCH($A51, 대여현황!$A:$A, 0)), INDEX(대여현황!F:F, MATCH($A51, 대여현황!$A:$A, 0)), "-")</f>
        <v>-</v>
      </c>
    </row>
    <row r="52" spans="1:6" ht="20" customHeight="1">
      <c r="A52" s="20">
        <v>50</v>
      </c>
      <c r="B52" s="21" t="s">
        <v>271</v>
      </c>
      <c r="C52" s="20" t="str">
        <f>IF(ISNUMBER(MATCH($A52, 대여현황!$A:$A, 0)), INDEX(대여현황!C:C, MATCH($A52, 대여현황!$A:$A, 0)), "")</f>
        <v/>
      </c>
      <c r="D52" s="20" t="str">
        <f>IF(ISNUMBER(MATCH($A52, 대여현황!$A:$A, 0)), INDEX(대여현황!D:D, MATCH($A52, 대여현황!$A:$A, 0)), "")</f>
        <v/>
      </c>
      <c r="E52" s="22" t="str">
        <f>IF(ISNUMBER(MATCH($A52, 대여현황!$A:$A, 0)), INDEX(대여현황!E:E, MATCH($A52, 대여현황!$A:$A, 0)), "")</f>
        <v/>
      </c>
      <c r="F52" s="22" t="str">
        <f>IF(ISNUMBER(MATCH($A52, 대여현황!$A:$A, 0)), INDEX(대여현황!F:F, MATCH($A52, 대여현황!$A:$A, 0)), "-")</f>
        <v>-</v>
      </c>
    </row>
    <row r="53" spans="1:6" ht="20" customHeight="1">
      <c r="A53" s="20">
        <v>51</v>
      </c>
      <c r="B53" s="21" t="s">
        <v>282</v>
      </c>
      <c r="C53" s="20" t="str">
        <f>IF(ISNUMBER(MATCH($A53, 대여현황!$A:$A, 0)), INDEX(대여현황!C:C, MATCH($A53, 대여현황!$A:$A, 0)), "")</f>
        <v/>
      </c>
      <c r="D53" s="20" t="str">
        <f>IF(ISNUMBER(MATCH($A53, 대여현황!$A:$A, 0)), INDEX(대여현황!D:D, MATCH($A53, 대여현황!$A:$A, 0)), "")</f>
        <v/>
      </c>
      <c r="E53" s="22" t="str">
        <f>IF(ISNUMBER(MATCH($A53, 대여현황!$A:$A, 0)), INDEX(대여현황!E:E, MATCH($A53, 대여현황!$A:$A, 0)), "")</f>
        <v/>
      </c>
      <c r="F53" s="22" t="str">
        <f>IF(ISNUMBER(MATCH($A53, 대여현황!$A:$A, 0)), INDEX(대여현황!F:F, MATCH($A53, 대여현황!$A:$A, 0)), "-")</f>
        <v>-</v>
      </c>
    </row>
    <row r="54" spans="1:6" ht="20" customHeight="1">
      <c r="A54" s="20">
        <v>52</v>
      </c>
      <c r="B54" s="21" t="s">
        <v>282</v>
      </c>
      <c r="C54" s="20" t="str">
        <f>IF(ISNUMBER(MATCH($A54, 대여현황!$A:$A, 0)), INDEX(대여현황!C:C, MATCH($A54, 대여현황!$A:$A, 0)), "")</f>
        <v/>
      </c>
      <c r="D54" s="20" t="str">
        <f>IF(ISNUMBER(MATCH($A54, 대여현황!$A:$A, 0)), INDEX(대여현황!D:D, MATCH($A54, 대여현황!$A:$A, 0)), "")</f>
        <v/>
      </c>
      <c r="E54" s="22" t="str">
        <f>IF(ISNUMBER(MATCH($A54, 대여현황!$A:$A, 0)), INDEX(대여현황!E:E, MATCH($A54, 대여현황!$A:$A, 0)), "")</f>
        <v/>
      </c>
      <c r="F54" s="22" t="str">
        <f>IF(ISNUMBER(MATCH($A54, 대여현황!$A:$A, 0)), INDEX(대여현황!F:F, MATCH($A54, 대여현황!$A:$A, 0)), "-")</f>
        <v>-</v>
      </c>
    </row>
    <row r="55" spans="1:6" ht="20" customHeight="1">
      <c r="A55" s="20">
        <v>53</v>
      </c>
      <c r="B55" s="21" t="s">
        <v>268</v>
      </c>
      <c r="C55" s="20" t="str">
        <f>IF(ISNUMBER(MATCH($A55, 대여현황!$A:$A, 0)), INDEX(대여현황!C:C, MATCH($A55, 대여현황!$A:$A, 0)), "")</f>
        <v/>
      </c>
      <c r="D55" s="20" t="str">
        <f>IF(ISNUMBER(MATCH($A55, 대여현황!$A:$A, 0)), INDEX(대여현황!D:D, MATCH($A55, 대여현황!$A:$A, 0)), "")</f>
        <v/>
      </c>
      <c r="E55" s="22" t="str">
        <f>IF(ISNUMBER(MATCH($A55, 대여현황!$A:$A, 0)), INDEX(대여현황!E:E, MATCH($A55, 대여현황!$A:$A, 0)), "")</f>
        <v/>
      </c>
      <c r="F55" s="22" t="str">
        <f>IF(ISNUMBER(MATCH($A55, 대여현황!$A:$A, 0)), INDEX(대여현황!F:F, MATCH($A55, 대여현황!$A:$A, 0)), "-")</f>
        <v>-</v>
      </c>
    </row>
    <row r="56" spans="1:6" ht="20" customHeight="1">
      <c r="A56" s="20">
        <v>54</v>
      </c>
      <c r="B56" s="21" t="s">
        <v>268</v>
      </c>
      <c r="C56" s="20" t="str">
        <f>IF(ISNUMBER(MATCH($A56, 대여현황!$A:$A, 0)), INDEX(대여현황!C:C, MATCH($A56, 대여현황!$A:$A, 0)), "")</f>
        <v/>
      </c>
      <c r="D56" s="20" t="str">
        <f>IF(ISNUMBER(MATCH($A56, 대여현황!$A:$A, 0)), INDEX(대여현황!D:D, MATCH($A56, 대여현황!$A:$A, 0)), "")</f>
        <v/>
      </c>
      <c r="E56" s="22" t="str">
        <f>IF(ISNUMBER(MATCH($A56, 대여현황!$A:$A, 0)), INDEX(대여현황!E:E, MATCH($A56, 대여현황!$A:$A, 0)), "")</f>
        <v/>
      </c>
      <c r="F56" s="22" t="str">
        <f>IF(ISNUMBER(MATCH($A56, 대여현황!$A:$A, 0)), INDEX(대여현황!F:F, MATCH($A56, 대여현황!$A:$A, 0)), "-")</f>
        <v>-</v>
      </c>
    </row>
    <row r="57" spans="1:6" ht="20" customHeight="1">
      <c r="A57" s="20">
        <v>55</v>
      </c>
      <c r="B57" s="21" t="s">
        <v>28</v>
      </c>
      <c r="C57" s="20" t="str">
        <f>IF(ISNUMBER(MATCH($A57, 대여현황!$A:$A, 0)), INDEX(대여현황!C:C, MATCH($A57, 대여현황!$A:$A, 0)), "")</f>
        <v/>
      </c>
      <c r="D57" s="20" t="str">
        <f>IF(ISNUMBER(MATCH($A57, 대여현황!$A:$A, 0)), INDEX(대여현황!D:D, MATCH($A57, 대여현황!$A:$A, 0)), "")</f>
        <v/>
      </c>
      <c r="E57" s="22" t="str">
        <f>IF(ISNUMBER(MATCH($A57, 대여현황!$A:$A, 0)), INDEX(대여현황!E:E, MATCH($A57, 대여현황!$A:$A, 0)), "")</f>
        <v/>
      </c>
      <c r="F57" s="22" t="str">
        <f>IF(ISNUMBER(MATCH($A57, 대여현황!$A:$A, 0)), INDEX(대여현황!F:F, MATCH($A57, 대여현황!$A:$A, 0)), "-")</f>
        <v>-</v>
      </c>
    </row>
    <row r="58" spans="1:6" ht="20" customHeight="1">
      <c r="A58" s="20">
        <v>56</v>
      </c>
      <c r="B58" s="21" t="s">
        <v>28</v>
      </c>
      <c r="C58" s="20" t="str">
        <f>IF(ISNUMBER(MATCH($A58, 대여현황!$A:$A, 0)), INDEX(대여현황!C:C, MATCH($A58, 대여현황!$A:$A, 0)), "")</f>
        <v/>
      </c>
      <c r="D58" s="20" t="str">
        <f>IF(ISNUMBER(MATCH($A58, 대여현황!$A:$A, 0)), INDEX(대여현황!D:D, MATCH($A58, 대여현황!$A:$A, 0)), "")</f>
        <v/>
      </c>
      <c r="E58" s="22" t="str">
        <f>IF(ISNUMBER(MATCH($A58, 대여현황!$A:$A, 0)), INDEX(대여현황!E:E, MATCH($A58, 대여현황!$A:$A, 0)), "")</f>
        <v/>
      </c>
      <c r="F58" s="22" t="str">
        <f>IF(ISNUMBER(MATCH($A58, 대여현황!$A:$A, 0)), INDEX(대여현황!F:F, MATCH($A58, 대여현황!$A:$A, 0)), "-")</f>
        <v>-</v>
      </c>
    </row>
    <row r="59" spans="1:6" ht="20" customHeight="1">
      <c r="A59" s="20">
        <v>57</v>
      </c>
      <c r="B59" s="21" t="s">
        <v>266</v>
      </c>
      <c r="C59" s="20" t="str">
        <f>IF(ISNUMBER(MATCH($A59, 대여현황!$A:$A, 0)), INDEX(대여현황!C:C, MATCH($A59, 대여현황!$A:$A, 0)), "")</f>
        <v/>
      </c>
      <c r="D59" s="20" t="str">
        <f>IF(ISNUMBER(MATCH($A59, 대여현황!$A:$A, 0)), INDEX(대여현황!D:D, MATCH($A59, 대여현황!$A:$A, 0)), "")</f>
        <v/>
      </c>
      <c r="E59" s="22" t="str">
        <f>IF(ISNUMBER(MATCH($A59, 대여현황!$A:$A, 0)), INDEX(대여현황!E:E, MATCH($A59, 대여현황!$A:$A, 0)), "")</f>
        <v/>
      </c>
      <c r="F59" s="22" t="str">
        <f>IF(ISNUMBER(MATCH($A59, 대여현황!$A:$A, 0)), INDEX(대여현황!F:F, MATCH($A59, 대여현황!$A:$A, 0)), "-")</f>
        <v>-</v>
      </c>
    </row>
    <row r="60" spans="1:6" ht="20" customHeight="1">
      <c r="A60" s="20">
        <v>58</v>
      </c>
      <c r="B60" s="21" t="s">
        <v>266</v>
      </c>
      <c r="C60" s="20" t="str">
        <f>IF(ISNUMBER(MATCH($A60, 대여현황!$A:$A, 0)), INDEX(대여현황!C:C, MATCH($A60, 대여현황!$A:$A, 0)), "")</f>
        <v/>
      </c>
      <c r="D60" s="20" t="str">
        <f>IF(ISNUMBER(MATCH($A60, 대여현황!$A:$A, 0)), INDEX(대여현황!D:D, MATCH($A60, 대여현황!$A:$A, 0)), "")</f>
        <v/>
      </c>
      <c r="E60" s="22" t="str">
        <f>IF(ISNUMBER(MATCH($A60, 대여현황!$A:$A, 0)), INDEX(대여현황!E:E, MATCH($A60, 대여현황!$A:$A, 0)), "")</f>
        <v/>
      </c>
      <c r="F60" s="22" t="str">
        <f>IF(ISNUMBER(MATCH($A60, 대여현황!$A:$A, 0)), INDEX(대여현황!F:F, MATCH($A60, 대여현황!$A:$A, 0)), "-")</f>
        <v>-</v>
      </c>
    </row>
    <row r="61" spans="1:6" ht="20" customHeight="1">
      <c r="A61" s="20">
        <v>59</v>
      </c>
      <c r="B61" s="21" t="s">
        <v>134</v>
      </c>
      <c r="C61" s="20" t="str">
        <f>IF(ISNUMBER(MATCH($A61, 대여현황!$A:$A, 0)), INDEX(대여현황!C:C, MATCH($A61, 대여현황!$A:$A, 0)), "")</f>
        <v/>
      </c>
      <c r="D61" s="20" t="str">
        <f>IF(ISNUMBER(MATCH($A61, 대여현황!$A:$A, 0)), INDEX(대여현황!D:D, MATCH($A61, 대여현황!$A:$A, 0)), "")</f>
        <v/>
      </c>
      <c r="E61" s="22" t="str">
        <f>IF(ISNUMBER(MATCH($A61, 대여현황!$A:$A, 0)), INDEX(대여현황!E:E, MATCH($A61, 대여현황!$A:$A, 0)), "")</f>
        <v/>
      </c>
      <c r="F61" s="22" t="str">
        <f>IF(ISNUMBER(MATCH($A61, 대여현황!$A:$A, 0)), INDEX(대여현황!F:F, MATCH($A61, 대여현황!$A:$A, 0)), "-")</f>
        <v>-</v>
      </c>
    </row>
    <row r="62" spans="1:6" ht="20" customHeight="1">
      <c r="A62" s="20">
        <v>60</v>
      </c>
      <c r="B62" s="21" t="s">
        <v>134</v>
      </c>
      <c r="C62" s="20" t="str">
        <f>IF(ISNUMBER(MATCH($A62, 대여현황!$A:$A, 0)), INDEX(대여현황!C:C, MATCH($A62, 대여현황!$A:$A, 0)), "")</f>
        <v/>
      </c>
      <c r="D62" s="20" t="str">
        <f>IF(ISNUMBER(MATCH($A62, 대여현황!$A:$A, 0)), INDEX(대여현황!D:D, MATCH($A62, 대여현황!$A:$A, 0)), "")</f>
        <v/>
      </c>
      <c r="E62" s="22" t="str">
        <f>IF(ISNUMBER(MATCH($A62, 대여현황!$A:$A, 0)), INDEX(대여현황!E:E, MATCH($A62, 대여현황!$A:$A, 0)), "")</f>
        <v/>
      </c>
      <c r="F62" s="22" t="str">
        <f>IF(ISNUMBER(MATCH($A62, 대여현황!$A:$A, 0)), INDEX(대여현황!F:F, MATCH($A62, 대여현황!$A:$A, 0)), "-")</f>
        <v>-</v>
      </c>
    </row>
    <row r="63" spans="1:6" ht="20" customHeight="1">
      <c r="A63" s="20">
        <v>61</v>
      </c>
      <c r="B63" s="21" t="s">
        <v>246</v>
      </c>
      <c r="C63" s="20" t="str">
        <f>IF(ISNUMBER(MATCH($A63, 대여현황!$A:$A, 0)), INDEX(대여현황!C:C, MATCH($A63, 대여현황!$A:$A, 0)), "")</f>
        <v/>
      </c>
      <c r="D63" s="20" t="str">
        <f>IF(ISNUMBER(MATCH($A63, 대여현황!$A:$A, 0)), INDEX(대여현황!D:D, MATCH($A63, 대여현황!$A:$A, 0)), "")</f>
        <v/>
      </c>
      <c r="E63" s="22" t="str">
        <f>IF(ISNUMBER(MATCH($A63, 대여현황!$A:$A, 0)), INDEX(대여현황!E:E, MATCH($A63, 대여현황!$A:$A, 0)), "")</f>
        <v/>
      </c>
      <c r="F63" s="22" t="str">
        <f>IF(ISNUMBER(MATCH($A63, 대여현황!$A:$A, 0)), INDEX(대여현황!F:F, MATCH($A63, 대여현황!$A:$A, 0)), "-")</f>
        <v>-</v>
      </c>
    </row>
    <row r="64" spans="1:6" ht="20" customHeight="1">
      <c r="A64" s="20">
        <v>62</v>
      </c>
      <c r="B64" s="21" t="s">
        <v>246</v>
      </c>
      <c r="C64" s="20" t="str">
        <f>IF(ISNUMBER(MATCH($A64, 대여현황!$A:$A, 0)), INDEX(대여현황!C:C, MATCH($A64, 대여현황!$A:$A, 0)), "")</f>
        <v/>
      </c>
      <c r="D64" s="20" t="str">
        <f>IF(ISNUMBER(MATCH($A64, 대여현황!$A:$A, 0)), INDEX(대여현황!D:D, MATCH($A64, 대여현황!$A:$A, 0)), "")</f>
        <v/>
      </c>
      <c r="E64" s="22" t="str">
        <f>IF(ISNUMBER(MATCH($A64, 대여현황!$A:$A, 0)), INDEX(대여현황!E:E, MATCH($A64, 대여현황!$A:$A, 0)), "")</f>
        <v/>
      </c>
      <c r="F64" s="22" t="str">
        <f>IF(ISNUMBER(MATCH($A64, 대여현황!$A:$A, 0)), INDEX(대여현황!F:F, MATCH($A64, 대여현황!$A:$A, 0)), "-")</f>
        <v>-</v>
      </c>
    </row>
    <row r="65" spans="1:6" ht="20" customHeight="1">
      <c r="A65" s="20">
        <v>63</v>
      </c>
      <c r="B65" s="21" t="s">
        <v>289</v>
      </c>
      <c r="C65" s="20" t="str">
        <f>IF(ISNUMBER(MATCH($A65, 대여현황!$A:$A, 0)), INDEX(대여현황!C:C, MATCH($A65, 대여현황!$A:$A, 0)), "")</f>
        <v/>
      </c>
      <c r="D65" s="20" t="str">
        <f>IF(ISNUMBER(MATCH($A65, 대여현황!$A:$A, 0)), INDEX(대여현황!D:D, MATCH($A65, 대여현황!$A:$A, 0)), "")</f>
        <v/>
      </c>
      <c r="E65" s="22" t="str">
        <f>IF(ISNUMBER(MATCH($A65, 대여현황!$A:$A, 0)), INDEX(대여현황!E:E, MATCH($A65, 대여현황!$A:$A, 0)), "")</f>
        <v/>
      </c>
      <c r="F65" s="22" t="str">
        <f>IF(ISNUMBER(MATCH($A65, 대여현황!$A:$A, 0)), INDEX(대여현황!F:F, MATCH($A65, 대여현황!$A:$A, 0)), "-")</f>
        <v>-</v>
      </c>
    </row>
    <row r="66" spans="1:6" ht="20" customHeight="1">
      <c r="A66" s="20">
        <v>64</v>
      </c>
      <c r="B66" s="21" t="s">
        <v>289</v>
      </c>
      <c r="C66" s="20" t="str">
        <f>IF(ISNUMBER(MATCH($A66, 대여현황!$A:$A, 0)), INDEX(대여현황!C:C, MATCH($A66, 대여현황!$A:$A, 0)), "")</f>
        <v/>
      </c>
      <c r="D66" s="20" t="str">
        <f>IF(ISNUMBER(MATCH($A66, 대여현황!$A:$A, 0)), INDEX(대여현황!D:D, MATCH($A66, 대여현황!$A:$A, 0)), "")</f>
        <v/>
      </c>
      <c r="E66" s="22" t="str">
        <f>IF(ISNUMBER(MATCH($A66, 대여현황!$A:$A, 0)), INDEX(대여현황!E:E, MATCH($A66, 대여현황!$A:$A, 0)), "")</f>
        <v/>
      </c>
      <c r="F66" s="22" t="str">
        <f>IF(ISNUMBER(MATCH($A66, 대여현황!$A:$A, 0)), INDEX(대여현황!F:F, MATCH($A66, 대여현황!$A:$A, 0)), "-")</f>
        <v>-</v>
      </c>
    </row>
    <row r="67" spans="1:6" ht="20" customHeight="1">
      <c r="A67" s="20">
        <v>65</v>
      </c>
      <c r="B67" s="21" t="s">
        <v>136</v>
      </c>
      <c r="C67" s="20" t="str">
        <f>IF(ISNUMBER(MATCH($A67, 대여현황!$A:$A, 0)), INDEX(대여현황!C:C, MATCH($A67, 대여현황!$A:$A, 0)), "")</f>
        <v/>
      </c>
      <c r="D67" s="20" t="str">
        <f>IF(ISNUMBER(MATCH($A67, 대여현황!$A:$A, 0)), INDEX(대여현황!D:D, MATCH($A67, 대여현황!$A:$A, 0)), "")</f>
        <v/>
      </c>
      <c r="E67" s="22" t="str">
        <f>IF(ISNUMBER(MATCH($A67, 대여현황!$A:$A, 0)), INDEX(대여현황!E:E, MATCH($A67, 대여현황!$A:$A, 0)), "")</f>
        <v/>
      </c>
      <c r="F67" s="22" t="str">
        <f>IF(ISNUMBER(MATCH($A67, 대여현황!$A:$A, 0)), INDEX(대여현황!F:F, MATCH($A67, 대여현황!$A:$A, 0)), "-")</f>
        <v>-</v>
      </c>
    </row>
    <row r="68" spans="1:6" ht="20" customHeight="1">
      <c r="A68" s="20">
        <v>66</v>
      </c>
      <c r="B68" s="21" t="s">
        <v>136</v>
      </c>
      <c r="C68" s="20" t="str">
        <f>IF(ISNUMBER(MATCH($A68, 대여현황!$A:$A, 0)), INDEX(대여현황!C:C, MATCH($A68, 대여현황!$A:$A, 0)), "")</f>
        <v/>
      </c>
      <c r="D68" s="20" t="str">
        <f>IF(ISNUMBER(MATCH($A68, 대여현황!$A:$A, 0)), INDEX(대여현황!D:D, MATCH($A68, 대여현황!$A:$A, 0)), "")</f>
        <v/>
      </c>
      <c r="E68" s="22" t="str">
        <f>IF(ISNUMBER(MATCH($A68, 대여현황!$A:$A, 0)), INDEX(대여현황!E:E, MATCH($A68, 대여현황!$A:$A, 0)), "")</f>
        <v/>
      </c>
      <c r="F68" s="22" t="str">
        <f>IF(ISNUMBER(MATCH($A68, 대여현황!$A:$A, 0)), INDEX(대여현황!F:F, MATCH($A68, 대여현황!$A:$A, 0)), "-")</f>
        <v>-</v>
      </c>
    </row>
    <row r="69" spans="1:6" ht="20" customHeight="1">
      <c r="A69" s="20">
        <v>67</v>
      </c>
      <c r="B69" s="21" t="s">
        <v>283</v>
      </c>
      <c r="C69" s="20" t="str">
        <f>IF(ISNUMBER(MATCH($A69, 대여현황!$A:$A, 0)), INDEX(대여현황!C:C, MATCH($A69, 대여현황!$A:$A, 0)), "")</f>
        <v/>
      </c>
      <c r="D69" s="20" t="str">
        <f>IF(ISNUMBER(MATCH($A69, 대여현황!$A:$A, 0)), INDEX(대여현황!D:D, MATCH($A69, 대여현황!$A:$A, 0)), "")</f>
        <v/>
      </c>
      <c r="E69" s="22" t="str">
        <f>IF(ISNUMBER(MATCH($A69, 대여현황!$A:$A, 0)), INDEX(대여현황!E:E, MATCH($A69, 대여현황!$A:$A, 0)), "")</f>
        <v/>
      </c>
      <c r="F69" s="22" t="str">
        <f>IF(ISNUMBER(MATCH($A69, 대여현황!$A:$A, 0)), INDEX(대여현황!F:F, MATCH($A69, 대여현황!$A:$A, 0)), "-")</f>
        <v>-</v>
      </c>
    </row>
    <row r="70" spans="1:6" ht="20" customHeight="1">
      <c r="A70" s="20">
        <v>68</v>
      </c>
      <c r="B70" s="21" t="s">
        <v>283</v>
      </c>
      <c r="C70" s="20" t="str">
        <f>IF(ISNUMBER(MATCH($A70, 대여현황!$A:$A, 0)), INDEX(대여현황!C:C, MATCH($A70, 대여현황!$A:$A, 0)), "")</f>
        <v/>
      </c>
      <c r="D70" s="20" t="str">
        <f>IF(ISNUMBER(MATCH($A70, 대여현황!$A:$A, 0)), INDEX(대여현황!D:D, MATCH($A70, 대여현황!$A:$A, 0)), "")</f>
        <v/>
      </c>
      <c r="E70" s="22" t="str">
        <f>IF(ISNUMBER(MATCH($A70, 대여현황!$A:$A, 0)), INDEX(대여현황!E:E, MATCH($A70, 대여현황!$A:$A, 0)), "")</f>
        <v/>
      </c>
      <c r="F70" s="22" t="str">
        <f>IF(ISNUMBER(MATCH($A70, 대여현황!$A:$A, 0)), INDEX(대여현황!F:F, MATCH($A70, 대여현황!$A:$A, 0)), "-")</f>
        <v>-</v>
      </c>
    </row>
    <row r="71" spans="1:6" ht="20" customHeight="1">
      <c r="A71" s="20">
        <v>69</v>
      </c>
      <c r="B71" s="21" t="s">
        <v>286</v>
      </c>
      <c r="C71" s="20" t="str">
        <f>IF(ISNUMBER(MATCH($A71, 대여현황!$A:$A, 0)), INDEX(대여현황!C:C, MATCH($A71, 대여현황!$A:$A, 0)), "")</f>
        <v/>
      </c>
      <c r="D71" s="20" t="str">
        <f>IF(ISNUMBER(MATCH($A71, 대여현황!$A:$A, 0)), INDEX(대여현황!D:D, MATCH($A71, 대여현황!$A:$A, 0)), "")</f>
        <v/>
      </c>
      <c r="E71" s="22" t="str">
        <f>IF(ISNUMBER(MATCH($A71, 대여현황!$A:$A, 0)), INDEX(대여현황!E:E, MATCH($A71, 대여현황!$A:$A, 0)), "")</f>
        <v/>
      </c>
      <c r="F71" s="22" t="str">
        <f>IF(ISNUMBER(MATCH($A71, 대여현황!$A:$A, 0)), INDEX(대여현황!F:F, MATCH($A71, 대여현황!$A:$A, 0)), "-")</f>
        <v>-</v>
      </c>
    </row>
    <row r="72" spans="1:6" ht="20" customHeight="1">
      <c r="A72" s="20">
        <v>70</v>
      </c>
      <c r="B72" s="21" t="s">
        <v>286</v>
      </c>
      <c r="C72" s="20" t="str">
        <f>IF(ISNUMBER(MATCH($A72, 대여현황!$A:$A, 0)), INDEX(대여현황!C:C, MATCH($A72, 대여현황!$A:$A, 0)), "")</f>
        <v/>
      </c>
      <c r="D72" s="20" t="str">
        <f>IF(ISNUMBER(MATCH($A72, 대여현황!$A:$A, 0)), INDEX(대여현황!D:D, MATCH($A72, 대여현황!$A:$A, 0)), "")</f>
        <v/>
      </c>
      <c r="E72" s="22" t="str">
        <f>IF(ISNUMBER(MATCH($A72, 대여현황!$A:$A, 0)), INDEX(대여현황!E:E, MATCH($A72, 대여현황!$A:$A, 0)), "")</f>
        <v/>
      </c>
      <c r="F72" s="22" t="str">
        <f>IF(ISNUMBER(MATCH($A72, 대여현황!$A:$A, 0)), INDEX(대여현황!F:F, MATCH($A72, 대여현황!$A:$A, 0)), "-")</f>
        <v>-</v>
      </c>
    </row>
    <row r="73" spans="1:6" ht="20" customHeight="1">
      <c r="A73" s="20">
        <v>71</v>
      </c>
      <c r="B73" s="21" t="s">
        <v>294</v>
      </c>
      <c r="C73" s="20" t="str">
        <f>IF(ISNUMBER(MATCH($A73, 대여현황!$A:$A, 0)), INDEX(대여현황!C:C, MATCH($A73, 대여현황!$A:$A, 0)), "")</f>
        <v/>
      </c>
      <c r="D73" s="20" t="str">
        <f>IF(ISNUMBER(MATCH($A73, 대여현황!$A:$A, 0)), INDEX(대여현황!D:D, MATCH($A73, 대여현황!$A:$A, 0)), "")</f>
        <v/>
      </c>
      <c r="E73" s="22" t="str">
        <f>IF(ISNUMBER(MATCH($A73, 대여현황!$A:$A, 0)), INDEX(대여현황!E:E, MATCH($A73, 대여현황!$A:$A, 0)), "")</f>
        <v/>
      </c>
      <c r="F73" s="22" t="str">
        <f>IF(ISNUMBER(MATCH($A73, 대여현황!$A:$A, 0)), INDEX(대여현황!F:F, MATCH($A73, 대여현황!$A:$A, 0)), "-")</f>
        <v>-</v>
      </c>
    </row>
    <row r="74" spans="1:6" ht="20" customHeight="1">
      <c r="A74" s="20">
        <v>72</v>
      </c>
      <c r="B74" s="21" t="s">
        <v>294</v>
      </c>
      <c r="C74" s="20" t="str">
        <f>IF(ISNUMBER(MATCH($A74, 대여현황!$A:$A, 0)), INDEX(대여현황!C:C, MATCH($A74, 대여현황!$A:$A, 0)), "")</f>
        <v/>
      </c>
      <c r="D74" s="20" t="str">
        <f>IF(ISNUMBER(MATCH($A74, 대여현황!$A:$A, 0)), INDEX(대여현황!D:D, MATCH($A74, 대여현황!$A:$A, 0)), "")</f>
        <v/>
      </c>
      <c r="E74" s="22" t="str">
        <f>IF(ISNUMBER(MATCH($A74, 대여현황!$A:$A, 0)), INDEX(대여현황!E:E, MATCH($A74, 대여현황!$A:$A, 0)), "")</f>
        <v/>
      </c>
      <c r="F74" s="22" t="str">
        <f>IF(ISNUMBER(MATCH($A74, 대여현황!$A:$A, 0)), INDEX(대여현황!F:F, MATCH($A74, 대여현황!$A:$A, 0)), "-")</f>
        <v>-</v>
      </c>
    </row>
    <row r="75" spans="1:6" ht="20" customHeight="1">
      <c r="A75" s="20">
        <v>73</v>
      </c>
      <c r="B75" s="21" t="s">
        <v>141</v>
      </c>
      <c r="C75" s="20" t="str">
        <f>IF(ISNUMBER(MATCH($A75, 대여현황!$A:$A, 0)), INDEX(대여현황!C:C, MATCH($A75, 대여현황!$A:$A, 0)), "")</f>
        <v/>
      </c>
      <c r="D75" s="20" t="str">
        <f>IF(ISNUMBER(MATCH($A75, 대여현황!$A:$A, 0)), INDEX(대여현황!D:D, MATCH($A75, 대여현황!$A:$A, 0)), "")</f>
        <v/>
      </c>
      <c r="E75" s="22" t="str">
        <f>IF(ISNUMBER(MATCH($A75, 대여현황!$A:$A, 0)), INDEX(대여현황!E:E, MATCH($A75, 대여현황!$A:$A, 0)), "")</f>
        <v/>
      </c>
      <c r="F75" s="22" t="str">
        <f>IF(ISNUMBER(MATCH($A75, 대여현황!$A:$A, 0)), INDEX(대여현황!F:F, MATCH($A75, 대여현황!$A:$A, 0)), "-")</f>
        <v>-</v>
      </c>
    </row>
    <row r="76" spans="1:6" ht="20" customHeight="1">
      <c r="A76" s="20">
        <v>74</v>
      </c>
      <c r="B76" s="21" t="s">
        <v>141</v>
      </c>
      <c r="C76" s="20" t="str">
        <f>IF(ISNUMBER(MATCH($A76, 대여현황!$A:$A, 0)), INDEX(대여현황!C:C, MATCH($A76, 대여현황!$A:$A, 0)), "")</f>
        <v/>
      </c>
      <c r="D76" s="20" t="str">
        <f>IF(ISNUMBER(MATCH($A76, 대여현황!$A:$A, 0)), INDEX(대여현황!D:D, MATCH($A76, 대여현황!$A:$A, 0)), "")</f>
        <v/>
      </c>
      <c r="E76" s="22" t="str">
        <f>IF(ISNUMBER(MATCH($A76, 대여현황!$A:$A, 0)), INDEX(대여현황!E:E, MATCH($A76, 대여현황!$A:$A, 0)), "")</f>
        <v/>
      </c>
      <c r="F76" s="22" t="str">
        <f>IF(ISNUMBER(MATCH($A76, 대여현황!$A:$A, 0)), INDEX(대여현황!F:F, MATCH($A76, 대여현황!$A:$A, 0)), "-")</f>
        <v>-</v>
      </c>
    </row>
    <row r="77" spans="1:6" ht="20" customHeight="1">
      <c r="A77" s="20">
        <v>75</v>
      </c>
      <c r="B77" s="21" t="s">
        <v>284</v>
      </c>
      <c r="C77" s="20" t="str">
        <f>IF(ISNUMBER(MATCH($A77, 대여현황!$A:$A, 0)), INDEX(대여현황!C:C, MATCH($A77, 대여현황!$A:$A, 0)), "")</f>
        <v/>
      </c>
      <c r="D77" s="20" t="str">
        <f>IF(ISNUMBER(MATCH($A77, 대여현황!$A:$A, 0)), INDEX(대여현황!D:D, MATCH($A77, 대여현황!$A:$A, 0)), "")</f>
        <v/>
      </c>
      <c r="E77" s="22" t="str">
        <f>IF(ISNUMBER(MATCH($A77, 대여현황!$A:$A, 0)), INDEX(대여현황!E:E, MATCH($A77, 대여현황!$A:$A, 0)), "")</f>
        <v/>
      </c>
      <c r="F77" s="22" t="str">
        <f>IF(ISNUMBER(MATCH($A77, 대여현황!$A:$A, 0)), INDEX(대여현황!F:F, MATCH($A77, 대여현황!$A:$A, 0)), "-")</f>
        <v>-</v>
      </c>
    </row>
    <row r="78" spans="1:6" ht="20" customHeight="1">
      <c r="A78" s="20">
        <v>76</v>
      </c>
      <c r="B78" s="21" t="s">
        <v>133</v>
      </c>
      <c r="C78" s="20" t="str">
        <f>IF(ISNUMBER(MATCH($A78, 대여현황!$A:$A, 0)), INDEX(대여현황!C:C, MATCH($A78, 대여현황!$A:$A, 0)), "")</f>
        <v/>
      </c>
      <c r="D78" s="20" t="str">
        <f>IF(ISNUMBER(MATCH($A78, 대여현황!$A:$A, 0)), INDEX(대여현황!D:D, MATCH($A78, 대여현황!$A:$A, 0)), "")</f>
        <v/>
      </c>
      <c r="E78" s="22" t="str">
        <f>IF(ISNUMBER(MATCH($A78, 대여현황!$A:$A, 0)), INDEX(대여현황!E:E, MATCH($A78, 대여현황!$A:$A, 0)), "")</f>
        <v/>
      </c>
      <c r="F78" s="22" t="str">
        <f>IF(ISNUMBER(MATCH($A78, 대여현황!$A:$A, 0)), INDEX(대여현황!F:F, MATCH($A78, 대여현황!$A:$A, 0)), "-")</f>
        <v>-</v>
      </c>
    </row>
    <row r="79" spans="1:6" ht="20" customHeight="1">
      <c r="A79" s="20">
        <v>77</v>
      </c>
      <c r="B79" s="21" t="s">
        <v>23</v>
      </c>
      <c r="C79" s="20" t="str">
        <f>IF(ISNUMBER(MATCH($A79, 대여현황!$A:$A, 0)), INDEX(대여현황!C:C, MATCH($A79, 대여현황!$A:$A, 0)), "")</f>
        <v/>
      </c>
      <c r="D79" s="20" t="str">
        <f>IF(ISNUMBER(MATCH($A79, 대여현황!$A:$A, 0)), INDEX(대여현황!D:D, MATCH($A79, 대여현황!$A:$A, 0)), "")</f>
        <v/>
      </c>
      <c r="E79" s="22" t="str">
        <f>IF(ISNUMBER(MATCH($A79, 대여현황!$A:$A, 0)), INDEX(대여현황!E:E, MATCH($A79, 대여현황!$A:$A, 0)), "")</f>
        <v/>
      </c>
      <c r="F79" s="22" t="str">
        <f>IF(ISNUMBER(MATCH($A79, 대여현황!$A:$A, 0)), INDEX(대여현황!F:F, MATCH($A79, 대여현황!$A:$A, 0)), "-")</f>
        <v>-</v>
      </c>
    </row>
    <row r="80" spans="1:6" ht="20" customHeight="1">
      <c r="A80" s="20">
        <v>78</v>
      </c>
      <c r="B80" s="21" t="s">
        <v>23</v>
      </c>
      <c r="C80" s="20" t="str">
        <f>IF(ISNUMBER(MATCH($A80, 대여현황!$A:$A, 0)), INDEX(대여현황!C:C, MATCH($A80, 대여현황!$A:$A, 0)), "")</f>
        <v/>
      </c>
      <c r="D80" s="20" t="str">
        <f>IF(ISNUMBER(MATCH($A80, 대여현황!$A:$A, 0)), INDEX(대여현황!D:D, MATCH($A80, 대여현황!$A:$A, 0)), "")</f>
        <v/>
      </c>
      <c r="E80" s="22" t="str">
        <f>IF(ISNUMBER(MATCH($A80, 대여현황!$A:$A, 0)), INDEX(대여현황!E:E, MATCH($A80, 대여현황!$A:$A, 0)), "")</f>
        <v/>
      </c>
      <c r="F80" s="22" t="str">
        <f>IF(ISNUMBER(MATCH($A80, 대여현황!$A:$A, 0)), INDEX(대여현황!F:F, MATCH($A80, 대여현황!$A:$A, 0)), "-")</f>
        <v>-</v>
      </c>
    </row>
    <row r="81" spans="1:6" ht="20" customHeight="1">
      <c r="A81" s="20">
        <v>79</v>
      </c>
      <c r="B81" s="21" t="s">
        <v>130</v>
      </c>
      <c r="C81" s="20" t="str">
        <f>IF(ISNUMBER(MATCH($A81, 대여현황!$A:$A, 0)), INDEX(대여현황!C:C, MATCH($A81, 대여현황!$A:$A, 0)), "")</f>
        <v/>
      </c>
      <c r="D81" s="20" t="str">
        <f>IF(ISNUMBER(MATCH($A81, 대여현황!$A:$A, 0)), INDEX(대여현황!D:D, MATCH($A81, 대여현황!$A:$A, 0)), "")</f>
        <v/>
      </c>
      <c r="E81" s="22" t="str">
        <f>IF(ISNUMBER(MATCH($A81, 대여현황!$A:$A, 0)), INDEX(대여현황!E:E, MATCH($A81, 대여현황!$A:$A, 0)), "")</f>
        <v/>
      </c>
      <c r="F81" s="22" t="str">
        <f>IF(ISNUMBER(MATCH($A81, 대여현황!$A:$A, 0)), INDEX(대여현황!F:F, MATCH($A81, 대여현황!$A:$A, 0)), "-")</f>
        <v>-</v>
      </c>
    </row>
    <row r="82" spans="1:6" ht="20" customHeight="1">
      <c r="A82" s="20">
        <v>80</v>
      </c>
      <c r="B82" s="21" t="s">
        <v>130</v>
      </c>
      <c r="C82" s="20" t="str">
        <f>IF(ISNUMBER(MATCH($A82, 대여현황!$A:$A, 0)), INDEX(대여현황!C:C, MATCH($A82, 대여현황!$A:$A, 0)), "")</f>
        <v/>
      </c>
      <c r="D82" s="20" t="str">
        <f>IF(ISNUMBER(MATCH($A82, 대여현황!$A:$A, 0)), INDEX(대여현황!D:D, MATCH($A82, 대여현황!$A:$A, 0)), "")</f>
        <v/>
      </c>
      <c r="E82" s="22" t="str">
        <f>IF(ISNUMBER(MATCH($A82, 대여현황!$A:$A, 0)), INDEX(대여현황!E:E, MATCH($A82, 대여현황!$A:$A, 0)), "")</f>
        <v/>
      </c>
      <c r="F82" s="22" t="str">
        <f>IF(ISNUMBER(MATCH($A82, 대여현황!$A:$A, 0)), INDEX(대여현황!F:F, MATCH($A82, 대여현황!$A:$A, 0)), "-")</f>
        <v>-</v>
      </c>
    </row>
    <row r="83" spans="1:6" ht="20" customHeight="1">
      <c r="A83" s="20">
        <v>81</v>
      </c>
      <c r="B83" s="21" t="s">
        <v>131</v>
      </c>
      <c r="C83" s="20" t="str">
        <f>IF(ISNUMBER(MATCH($A83, 대여현황!$A:$A, 0)), INDEX(대여현황!C:C, MATCH($A83, 대여현황!$A:$A, 0)), "")</f>
        <v/>
      </c>
      <c r="D83" s="20" t="str">
        <f>IF(ISNUMBER(MATCH($A83, 대여현황!$A:$A, 0)), INDEX(대여현황!D:D, MATCH($A83, 대여현황!$A:$A, 0)), "")</f>
        <v/>
      </c>
      <c r="E83" s="22" t="str">
        <f>IF(ISNUMBER(MATCH($A83, 대여현황!$A:$A, 0)), INDEX(대여현황!E:E, MATCH($A83, 대여현황!$A:$A, 0)), "")</f>
        <v/>
      </c>
      <c r="F83" s="22" t="str">
        <f>IF(ISNUMBER(MATCH($A83, 대여현황!$A:$A, 0)), INDEX(대여현황!F:F, MATCH($A83, 대여현황!$A:$A, 0)), "-")</f>
        <v>-</v>
      </c>
    </row>
    <row r="84" spans="1:6" ht="20" customHeight="1">
      <c r="A84" s="20">
        <v>82</v>
      </c>
      <c r="B84" s="21" t="s">
        <v>131</v>
      </c>
      <c r="C84" s="20" t="str">
        <f>IF(ISNUMBER(MATCH($A84, 대여현황!$A:$A, 0)), INDEX(대여현황!C:C, MATCH($A84, 대여현황!$A:$A, 0)), "")</f>
        <v/>
      </c>
      <c r="D84" s="20" t="str">
        <f>IF(ISNUMBER(MATCH($A84, 대여현황!$A:$A, 0)), INDEX(대여현황!D:D, MATCH($A84, 대여현황!$A:$A, 0)), "")</f>
        <v/>
      </c>
      <c r="E84" s="22" t="str">
        <f>IF(ISNUMBER(MATCH($A84, 대여현황!$A:$A, 0)), INDEX(대여현황!E:E, MATCH($A84, 대여현황!$A:$A, 0)), "")</f>
        <v/>
      </c>
      <c r="F84" s="22" t="str">
        <f>IF(ISNUMBER(MATCH($A84, 대여현황!$A:$A, 0)), INDEX(대여현황!F:F, MATCH($A84, 대여현황!$A:$A, 0)), "-")</f>
        <v>-</v>
      </c>
    </row>
    <row r="85" spans="1:6" ht="20" customHeight="1">
      <c r="A85" s="20">
        <v>83</v>
      </c>
      <c r="B85" s="21" t="s">
        <v>164</v>
      </c>
      <c r="C85" s="20" t="str">
        <f>IF(ISNUMBER(MATCH($A85, 대여현황!$A:$A, 0)), INDEX(대여현황!C:C, MATCH($A85, 대여현황!$A:$A, 0)), "")</f>
        <v/>
      </c>
      <c r="D85" s="20" t="str">
        <f>IF(ISNUMBER(MATCH($A85, 대여현황!$A:$A, 0)), INDEX(대여현황!D:D, MATCH($A85, 대여현황!$A:$A, 0)), "")</f>
        <v/>
      </c>
      <c r="E85" s="22" t="str">
        <f>IF(ISNUMBER(MATCH($A85, 대여현황!$A:$A, 0)), INDEX(대여현황!E:E, MATCH($A85, 대여현황!$A:$A, 0)), "")</f>
        <v/>
      </c>
      <c r="F85" s="22" t="str">
        <f>IF(ISNUMBER(MATCH($A85, 대여현황!$A:$A, 0)), INDEX(대여현황!F:F, MATCH($A85, 대여현황!$A:$A, 0)), "-")</f>
        <v>-</v>
      </c>
    </row>
    <row r="86" spans="1:6" ht="20" customHeight="1">
      <c r="A86" s="20">
        <v>84</v>
      </c>
      <c r="B86" s="21" t="s">
        <v>164</v>
      </c>
      <c r="C86" s="20" t="str">
        <f>IF(ISNUMBER(MATCH($A86, 대여현황!$A:$A, 0)), INDEX(대여현황!C:C, MATCH($A86, 대여현황!$A:$A, 0)), "")</f>
        <v/>
      </c>
      <c r="D86" s="20" t="str">
        <f>IF(ISNUMBER(MATCH($A86, 대여현황!$A:$A, 0)), INDEX(대여현황!D:D, MATCH($A86, 대여현황!$A:$A, 0)), "")</f>
        <v/>
      </c>
      <c r="E86" s="22" t="str">
        <f>IF(ISNUMBER(MATCH($A86, 대여현황!$A:$A, 0)), INDEX(대여현황!E:E, MATCH($A86, 대여현황!$A:$A, 0)), "")</f>
        <v/>
      </c>
      <c r="F86" s="22" t="str">
        <f>IF(ISNUMBER(MATCH($A86, 대여현황!$A:$A, 0)), INDEX(대여현황!F:F, MATCH($A86, 대여현황!$A:$A, 0)), "-")</f>
        <v>-</v>
      </c>
    </row>
    <row r="87" spans="1:6" ht="20" customHeight="1">
      <c r="A87" s="20">
        <v>85</v>
      </c>
      <c r="B87" s="21" t="s">
        <v>160</v>
      </c>
      <c r="C87" s="20" t="str">
        <f>IF(ISNUMBER(MATCH($A87, 대여현황!$A:$A, 0)), INDEX(대여현황!C:C, MATCH($A87, 대여현황!$A:$A, 0)), "")</f>
        <v/>
      </c>
      <c r="D87" s="20" t="str">
        <f>IF(ISNUMBER(MATCH($A87, 대여현황!$A:$A, 0)), INDEX(대여현황!D:D, MATCH($A87, 대여현황!$A:$A, 0)), "")</f>
        <v/>
      </c>
      <c r="E87" s="22" t="str">
        <f>IF(ISNUMBER(MATCH($A87, 대여현황!$A:$A, 0)), INDEX(대여현황!E:E, MATCH($A87, 대여현황!$A:$A, 0)), "")</f>
        <v/>
      </c>
      <c r="F87" s="22" t="str">
        <f>IF(ISNUMBER(MATCH($A87, 대여현황!$A:$A, 0)), INDEX(대여현황!F:F, MATCH($A87, 대여현황!$A:$A, 0)), "-")</f>
        <v>-</v>
      </c>
    </row>
    <row r="88" spans="1:6" ht="20" customHeight="1">
      <c r="A88" s="20">
        <v>86</v>
      </c>
      <c r="B88" s="21" t="s">
        <v>160</v>
      </c>
      <c r="C88" s="20" t="str">
        <f>IF(ISNUMBER(MATCH($A88, 대여현황!$A:$A, 0)), INDEX(대여현황!C:C, MATCH($A88, 대여현황!$A:$A, 0)), "")</f>
        <v/>
      </c>
      <c r="D88" s="20" t="str">
        <f>IF(ISNUMBER(MATCH($A88, 대여현황!$A:$A, 0)), INDEX(대여현황!D:D, MATCH($A88, 대여현황!$A:$A, 0)), "")</f>
        <v/>
      </c>
      <c r="E88" s="22" t="str">
        <f>IF(ISNUMBER(MATCH($A88, 대여현황!$A:$A, 0)), INDEX(대여현황!E:E, MATCH($A88, 대여현황!$A:$A, 0)), "")</f>
        <v/>
      </c>
      <c r="F88" s="22" t="str">
        <f>IF(ISNUMBER(MATCH($A88, 대여현황!$A:$A, 0)), INDEX(대여현황!F:F, MATCH($A88, 대여현황!$A:$A, 0)), "-")</f>
        <v>-</v>
      </c>
    </row>
    <row r="89" spans="1:6" ht="20" customHeight="1">
      <c r="A89" s="20">
        <v>87</v>
      </c>
      <c r="B89" s="21" t="s">
        <v>163</v>
      </c>
      <c r="C89" s="20" t="str">
        <f>IF(ISNUMBER(MATCH($A89, 대여현황!$A:$A, 0)), INDEX(대여현황!C:C, MATCH($A89, 대여현황!$A:$A, 0)), "")</f>
        <v/>
      </c>
      <c r="D89" s="20" t="str">
        <f>IF(ISNUMBER(MATCH($A89, 대여현황!$A:$A, 0)), INDEX(대여현황!D:D, MATCH($A89, 대여현황!$A:$A, 0)), "")</f>
        <v/>
      </c>
      <c r="E89" s="22" t="str">
        <f>IF(ISNUMBER(MATCH($A89, 대여현황!$A:$A, 0)), INDEX(대여현황!E:E, MATCH($A89, 대여현황!$A:$A, 0)), "")</f>
        <v/>
      </c>
      <c r="F89" s="22" t="str">
        <f>IF(ISNUMBER(MATCH($A89, 대여현황!$A:$A, 0)), INDEX(대여현황!F:F, MATCH($A89, 대여현황!$A:$A, 0)), "-")</f>
        <v>-</v>
      </c>
    </row>
    <row r="90" spans="1:6" ht="20" customHeight="1">
      <c r="A90" s="20">
        <v>88</v>
      </c>
      <c r="B90" s="21" t="s">
        <v>163</v>
      </c>
      <c r="C90" s="20" t="str">
        <f>IF(ISNUMBER(MATCH($A90, 대여현황!$A:$A, 0)), INDEX(대여현황!C:C, MATCH($A90, 대여현황!$A:$A, 0)), "")</f>
        <v/>
      </c>
      <c r="D90" s="20" t="str">
        <f>IF(ISNUMBER(MATCH($A90, 대여현황!$A:$A, 0)), INDEX(대여현황!D:D, MATCH($A90, 대여현황!$A:$A, 0)), "")</f>
        <v/>
      </c>
      <c r="E90" s="22" t="str">
        <f>IF(ISNUMBER(MATCH($A90, 대여현황!$A:$A, 0)), INDEX(대여현황!E:E, MATCH($A90, 대여현황!$A:$A, 0)), "")</f>
        <v/>
      </c>
      <c r="F90" s="22" t="str">
        <f>IF(ISNUMBER(MATCH($A90, 대여현황!$A:$A, 0)), INDEX(대여현황!F:F, MATCH($A90, 대여현황!$A:$A, 0)), "-")</f>
        <v>-</v>
      </c>
    </row>
    <row r="91" spans="1:6" ht="20" customHeight="1">
      <c r="A91" s="20">
        <v>89</v>
      </c>
      <c r="B91" s="21" t="s">
        <v>291</v>
      </c>
      <c r="C91" s="20" t="str">
        <f>IF(ISNUMBER(MATCH($A91, 대여현황!$A:$A, 0)), INDEX(대여현황!C:C, MATCH($A91, 대여현황!$A:$A, 0)), "")</f>
        <v/>
      </c>
      <c r="D91" s="20" t="str">
        <f>IF(ISNUMBER(MATCH($A91, 대여현황!$A:$A, 0)), INDEX(대여현황!D:D, MATCH($A91, 대여현황!$A:$A, 0)), "")</f>
        <v/>
      </c>
      <c r="E91" s="22" t="str">
        <f>IF(ISNUMBER(MATCH($A91, 대여현황!$A:$A, 0)), INDEX(대여현황!E:E, MATCH($A91, 대여현황!$A:$A, 0)), "")</f>
        <v/>
      </c>
      <c r="F91" s="22" t="str">
        <f>IF(ISNUMBER(MATCH($A91, 대여현황!$A:$A, 0)), INDEX(대여현황!F:F, MATCH($A91, 대여현황!$A:$A, 0)), "-")</f>
        <v>-</v>
      </c>
    </row>
    <row r="92" spans="1:6" ht="20" customHeight="1">
      <c r="A92" s="20">
        <v>90</v>
      </c>
      <c r="B92" s="21" t="s">
        <v>291</v>
      </c>
      <c r="C92" s="20" t="str">
        <f>IF(ISNUMBER(MATCH($A92, 대여현황!$A:$A, 0)), INDEX(대여현황!C:C, MATCH($A92, 대여현황!$A:$A, 0)), "")</f>
        <v/>
      </c>
      <c r="D92" s="20" t="str">
        <f>IF(ISNUMBER(MATCH($A92, 대여현황!$A:$A, 0)), INDEX(대여현황!D:D, MATCH($A92, 대여현황!$A:$A, 0)), "")</f>
        <v/>
      </c>
      <c r="E92" s="22" t="str">
        <f>IF(ISNUMBER(MATCH($A92, 대여현황!$A:$A, 0)), INDEX(대여현황!E:E, MATCH($A92, 대여현황!$A:$A, 0)), "")</f>
        <v/>
      </c>
      <c r="F92" s="22" t="str">
        <f>IF(ISNUMBER(MATCH($A92, 대여현황!$A:$A, 0)), INDEX(대여현황!F:F, MATCH($A92, 대여현황!$A:$A, 0)), "-")</f>
        <v>-</v>
      </c>
    </row>
    <row r="93" spans="1:6" ht="20" customHeight="1">
      <c r="A93" s="20">
        <v>91</v>
      </c>
      <c r="B93" s="21" t="s">
        <v>66</v>
      </c>
      <c r="C93" s="20" t="str">
        <f>IF(ISNUMBER(MATCH($A93, 대여현황!$A:$A, 0)), INDEX(대여현황!C:C, MATCH($A93, 대여현황!$A:$A, 0)), "")</f>
        <v/>
      </c>
      <c r="D93" s="20" t="str">
        <f>IF(ISNUMBER(MATCH($A93, 대여현황!$A:$A, 0)), INDEX(대여현황!D:D, MATCH($A93, 대여현황!$A:$A, 0)), "")</f>
        <v/>
      </c>
      <c r="E93" s="22" t="str">
        <f>IF(ISNUMBER(MATCH($A93, 대여현황!$A:$A, 0)), INDEX(대여현황!E:E, MATCH($A93, 대여현황!$A:$A, 0)), "")</f>
        <v/>
      </c>
      <c r="F93" s="22" t="str">
        <f>IF(ISNUMBER(MATCH($A93, 대여현황!$A:$A, 0)), INDEX(대여현황!F:F, MATCH($A93, 대여현황!$A:$A, 0)), "-")</f>
        <v>-</v>
      </c>
    </row>
    <row r="94" spans="1:6" ht="20" customHeight="1">
      <c r="A94" s="20">
        <v>92</v>
      </c>
      <c r="B94" s="21" t="s">
        <v>67</v>
      </c>
      <c r="C94" s="20" t="str">
        <f>IF(ISNUMBER(MATCH($A94, 대여현황!$A:$A, 0)), INDEX(대여현황!C:C, MATCH($A94, 대여현황!$A:$A, 0)), "")</f>
        <v/>
      </c>
      <c r="D94" s="20" t="str">
        <f>IF(ISNUMBER(MATCH($A94, 대여현황!$A:$A, 0)), INDEX(대여현황!D:D, MATCH($A94, 대여현황!$A:$A, 0)), "")</f>
        <v/>
      </c>
      <c r="E94" s="22" t="str">
        <f>IF(ISNUMBER(MATCH($A94, 대여현황!$A:$A, 0)), INDEX(대여현황!E:E, MATCH($A94, 대여현황!$A:$A, 0)), "")</f>
        <v/>
      </c>
      <c r="F94" s="22" t="str">
        <f>IF(ISNUMBER(MATCH($A94, 대여현황!$A:$A, 0)), INDEX(대여현황!F:F, MATCH($A94, 대여현황!$A:$A, 0)), "-")</f>
        <v>-</v>
      </c>
    </row>
    <row r="95" spans="1:6" ht="20" customHeight="1">
      <c r="A95" s="20">
        <v>93</v>
      </c>
      <c r="B95" s="21" t="s">
        <v>67</v>
      </c>
      <c r="C95" s="20" t="str">
        <f>IF(ISNUMBER(MATCH($A95, 대여현황!$A:$A, 0)), INDEX(대여현황!C:C, MATCH($A95, 대여현황!$A:$A, 0)), "")</f>
        <v/>
      </c>
      <c r="D95" s="20" t="str">
        <f>IF(ISNUMBER(MATCH($A95, 대여현황!$A:$A, 0)), INDEX(대여현황!D:D, MATCH($A95, 대여현황!$A:$A, 0)), "")</f>
        <v/>
      </c>
      <c r="E95" s="22" t="str">
        <f>IF(ISNUMBER(MATCH($A95, 대여현황!$A:$A, 0)), INDEX(대여현황!E:E, MATCH($A95, 대여현황!$A:$A, 0)), "")</f>
        <v/>
      </c>
      <c r="F95" s="22" t="str">
        <f>IF(ISNUMBER(MATCH($A95, 대여현황!$A:$A, 0)), INDEX(대여현황!F:F, MATCH($A95, 대여현황!$A:$A, 0)), "-")</f>
        <v>-</v>
      </c>
    </row>
    <row r="96" spans="1:6" ht="20" customHeight="1">
      <c r="A96" s="20">
        <v>94</v>
      </c>
      <c r="B96" s="21" t="s">
        <v>209</v>
      </c>
      <c r="C96" s="20" t="str">
        <f>IF(ISNUMBER(MATCH($A96, 대여현황!$A:$A, 0)), INDEX(대여현황!C:C, MATCH($A96, 대여현황!$A:$A, 0)), "")</f>
        <v/>
      </c>
      <c r="D96" s="20" t="str">
        <f>IF(ISNUMBER(MATCH($A96, 대여현황!$A:$A, 0)), INDEX(대여현황!D:D, MATCH($A96, 대여현황!$A:$A, 0)), "")</f>
        <v/>
      </c>
      <c r="E96" s="22" t="str">
        <f>IF(ISNUMBER(MATCH($A96, 대여현황!$A:$A, 0)), INDEX(대여현황!E:E, MATCH($A96, 대여현황!$A:$A, 0)), "")</f>
        <v/>
      </c>
      <c r="F96" s="22" t="str">
        <f>IF(ISNUMBER(MATCH($A96, 대여현황!$A:$A, 0)), INDEX(대여현황!F:F, MATCH($A96, 대여현황!$A:$A, 0)), "-")</f>
        <v>-</v>
      </c>
    </row>
    <row r="97" spans="1:6" ht="20" customHeight="1">
      <c r="A97" s="20">
        <v>95</v>
      </c>
      <c r="B97" s="21" t="s">
        <v>209</v>
      </c>
      <c r="C97" s="20" t="str">
        <f>IF(ISNUMBER(MATCH($A97, 대여현황!$A:$A, 0)), INDEX(대여현황!C:C, MATCH($A97, 대여현황!$A:$A, 0)), "")</f>
        <v/>
      </c>
      <c r="D97" s="20" t="str">
        <f>IF(ISNUMBER(MATCH($A97, 대여현황!$A:$A, 0)), INDEX(대여현황!D:D, MATCH($A97, 대여현황!$A:$A, 0)), "")</f>
        <v/>
      </c>
      <c r="E97" s="22" t="str">
        <f>IF(ISNUMBER(MATCH($A97, 대여현황!$A:$A, 0)), INDEX(대여현황!E:E, MATCH($A97, 대여현황!$A:$A, 0)), "")</f>
        <v/>
      </c>
      <c r="F97" s="22" t="str">
        <f>IF(ISNUMBER(MATCH($A97, 대여현황!$A:$A, 0)), INDEX(대여현황!F:F, MATCH($A97, 대여현황!$A:$A, 0)), "-")</f>
        <v>-</v>
      </c>
    </row>
    <row r="98" spans="1:6" ht="20" customHeight="1">
      <c r="A98" s="20">
        <v>96</v>
      </c>
      <c r="B98" s="21" t="s">
        <v>46</v>
      </c>
      <c r="C98" s="20" t="str">
        <f>IF(ISNUMBER(MATCH($A98, 대여현황!$A:$A, 0)), INDEX(대여현황!C:C, MATCH($A98, 대여현황!$A:$A, 0)), "")</f>
        <v/>
      </c>
      <c r="D98" s="20" t="str">
        <f>IF(ISNUMBER(MATCH($A98, 대여현황!$A:$A, 0)), INDEX(대여현황!D:D, MATCH($A98, 대여현황!$A:$A, 0)), "")</f>
        <v/>
      </c>
      <c r="E98" s="22" t="str">
        <f>IF(ISNUMBER(MATCH($A98, 대여현황!$A:$A, 0)), INDEX(대여현황!E:E, MATCH($A98, 대여현황!$A:$A, 0)), "")</f>
        <v/>
      </c>
      <c r="F98" s="22" t="str">
        <f>IF(ISNUMBER(MATCH($A98, 대여현황!$A:$A, 0)), INDEX(대여현황!F:F, MATCH($A98, 대여현황!$A:$A, 0)), "-")</f>
        <v>-</v>
      </c>
    </row>
    <row r="99" spans="1:6" ht="20" customHeight="1">
      <c r="A99" s="20">
        <v>97</v>
      </c>
      <c r="B99" s="21" t="s">
        <v>211</v>
      </c>
      <c r="C99" s="20" t="str">
        <f>IF(ISNUMBER(MATCH($A99, 대여현황!$A:$A, 0)), INDEX(대여현황!C:C, MATCH($A99, 대여현황!$A:$A, 0)), "")</f>
        <v/>
      </c>
      <c r="D99" s="20" t="str">
        <f>IF(ISNUMBER(MATCH($A99, 대여현황!$A:$A, 0)), INDEX(대여현황!D:D, MATCH($A99, 대여현황!$A:$A, 0)), "")</f>
        <v/>
      </c>
      <c r="E99" s="22" t="str">
        <f>IF(ISNUMBER(MATCH($A99, 대여현황!$A:$A, 0)), INDEX(대여현황!E:E, MATCH($A99, 대여현황!$A:$A, 0)), "")</f>
        <v/>
      </c>
      <c r="F99" s="22" t="str">
        <f>IF(ISNUMBER(MATCH($A99, 대여현황!$A:$A, 0)), INDEX(대여현황!F:F, MATCH($A99, 대여현황!$A:$A, 0)), "-")</f>
        <v>-</v>
      </c>
    </row>
    <row r="100" spans="1:6" ht="20" customHeight="1">
      <c r="A100" s="20">
        <v>98</v>
      </c>
      <c r="B100" s="21" t="s">
        <v>211</v>
      </c>
      <c r="C100" s="20" t="str">
        <f>IF(ISNUMBER(MATCH($A100, 대여현황!$A:$A, 0)), INDEX(대여현황!C:C, MATCH($A100, 대여현황!$A:$A, 0)), "")</f>
        <v/>
      </c>
      <c r="D100" s="20" t="str">
        <f>IF(ISNUMBER(MATCH($A100, 대여현황!$A:$A, 0)), INDEX(대여현황!D:D, MATCH($A100, 대여현황!$A:$A, 0)), "")</f>
        <v/>
      </c>
      <c r="E100" s="22" t="str">
        <f>IF(ISNUMBER(MATCH($A100, 대여현황!$A:$A, 0)), INDEX(대여현황!E:E, MATCH($A100, 대여현황!$A:$A, 0)), "")</f>
        <v/>
      </c>
      <c r="F100" s="22" t="str">
        <f>IF(ISNUMBER(MATCH($A100, 대여현황!$A:$A, 0)), INDEX(대여현황!F:F, MATCH($A100, 대여현황!$A:$A, 0)), "-")</f>
        <v>-</v>
      </c>
    </row>
    <row r="101" spans="1:6" ht="20" customHeight="1">
      <c r="A101" s="20">
        <v>99</v>
      </c>
      <c r="B101" s="21" t="s">
        <v>269</v>
      </c>
      <c r="C101" s="20" t="str">
        <f>IF(ISNUMBER(MATCH($A101, 대여현황!$A:$A, 0)), INDEX(대여현황!C:C, MATCH($A101, 대여현황!$A:$A, 0)), "")</f>
        <v/>
      </c>
      <c r="D101" s="20" t="str">
        <f>IF(ISNUMBER(MATCH($A101, 대여현황!$A:$A, 0)), INDEX(대여현황!D:D, MATCH($A101, 대여현황!$A:$A, 0)), "")</f>
        <v/>
      </c>
      <c r="E101" s="22" t="str">
        <f>IF(ISNUMBER(MATCH($A101, 대여현황!$A:$A, 0)), INDEX(대여현황!E:E, MATCH($A101, 대여현황!$A:$A, 0)), "")</f>
        <v/>
      </c>
      <c r="F101" s="22" t="str">
        <f>IF(ISNUMBER(MATCH($A101, 대여현황!$A:$A, 0)), INDEX(대여현황!F:F, MATCH($A101, 대여현황!$A:$A, 0)), "-")</f>
        <v>-</v>
      </c>
    </row>
    <row r="102" spans="1:6" ht="20" customHeight="1">
      <c r="A102" s="20">
        <v>100</v>
      </c>
      <c r="B102" s="21" t="s">
        <v>269</v>
      </c>
      <c r="C102" s="20" t="str">
        <f>IF(ISNUMBER(MATCH($A102, 대여현황!$A:$A, 0)), INDEX(대여현황!C:C, MATCH($A102, 대여현황!$A:$A, 0)), "")</f>
        <v/>
      </c>
      <c r="D102" s="20" t="str">
        <f>IF(ISNUMBER(MATCH($A102, 대여현황!$A:$A, 0)), INDEX(대여현황!D:D, MATCH($A102, 대여현황!$A:$A, 0)), "")</f>
        <v/>
      </c>
      <c r="E102" s="22" t="str">
        <f>IF(ISNUMBER(MATCH($A102, 대여현황!$A:$A, 0)), INDEX(대여현황!E:E, MATCH($A102, 대여현황!$A:$A, 0)), "")</f>
        <v/>
      </c>
      <c r="F102" s="22" t="str">
        <f>IF(ISNUMBER(MATCH($A102, 대여현황!$A:$A, 0)), INDEX(대여현황!F:F, MATCH($A102, 대여현황!$A:$A, 0)), "-")</f>
        <v>-</v>
      </c>
    </row>
    <row r="103" spans="1:6" ht="20" customHeight="1">
      <c r="A103" s="20">
        <v>101</v>
      </c>
      <c r="B103" s="21" t="s">
        <v>25</v>
      </c>
      <c r="C103" s="20" t="str">
        <f>IF(ISNUMBER(MATCH($A103, 대여현황!$A:$A, 0)), INDEX(대여현황!C:C, MATCH($A103, 대여현황!$A:$A, 0)), "")</f>
        <v/>
      </c>
      <c r="D103" s="20" t="str">
        <f>IF(ISNUMBER(MATCH($A103, 대여현황!$A:$A, 0)), INDEX(대여현황!D:D, MATCH($A103, 대여현황!$A:$A, 0)), "")</f>
        <v/>
      </c>
      <c r="E103" s="22" t="str">
        <f>IF(ISNUMBER(MATCH($A103, 대여현황!$A:$A, 0)), INDEX(대여현황!E:E, MATCH($A103, 대여현황!$A:$A, 0)), "")</f>
        <v/>
      </c>
      <c r="F103" s="22" t="str">
        <f>IF(ISNUMBER(MATCH($A103, 대여현황!$A:$A, 0)), INDEX(대여현황!F:F, MATCH($A103, 대여현황!$A:$A, 0)), "-")</f>
        <v>-</v>
      </c>
    </row>
    <row r="104" spans="1:6" ht="20" customHeight="1">
      <c r="A104" s="20">
        <v>102</v>
      </c>
      <c r="B104" s="21" t="s">
        <v>25</v>
      </c>
      <c r="C104" s="20" t="str">
        <f>IF(ISNUMBER(MATCH($A104, 대여현황!$A:$A, 0)), INDEX(대여현황!C:C, MATCH($A104, 대여현황!$A:$A, 0)), "")</f>
        <v/>
      </c>
      <c r="D104" s="20" t="str">
        <f>IF(ISNUMBER(MATCH($A104, 대여현황!$A:$A, 0)), INDEX(대여현황!D:D, MATCH($A104, 대여현황!$A:$A, 0)), "")</f>
        <v/>
      </c>
      <c r="E104" s="22" t="str">
        <f>IF(ISNUMBER(MATCH($A104, 대여현황!$A:$A, 0)), INDEX(대여현황!E:E, MATCH($A104, 대여현황!$A:$A, 0)), "")</f>
        <v/>
      </c>
      <c r="F104" s="22" t="str">
        <f>IF(ISNUMBER(MATCH($A104, 대여현황!$A:$A, 0)), INDEX(대여현황!F:F, MATCH($A104, 대여현황!$A:$A, 0)), "-")</f>
        <v>-</v>
      </c>
    </row>
    <row r="105" spans="1:6" ht="20" customHeight="1">
      <c r="A105" s="20">
        <v>103</v>
      </c>
      <c r="B105" s="21" t="s">
        <v>292</v>
      </c>
      <c r="C105" s="20" t="str">
        <f>IF(ISNUMBER(MATCH($A105, 대여현황!$A:$A, 0)), INDEX(대여현황!C:C, MATCH($A105, 대여현황!$A:$A, 0)), "")</f>
        <v/>
      </c>
      <c r="D105" s="20" t="str">
        <f>IF(ISNUMBER(MATCH($A105, 대여현황!$A:$A, 0)), INDEX(대여현황!D:D, MATCH($A105, 대여현황!$A:$A, 0)), "")</f>
        <v/>
      </c>
      <c r="E105" s="22" t="str">
        <f>IF(ISNUMBER(MATCH($A105, 대여현황!$A:$A, 0)), INDEX(대여현황!E:E, MATCH($A105, 대여현황!$A:$A, 0)), "")</f>
        <v/>
      </c>
      <c r="F105" s="22" t="str">
        <f>IF(ISNUMBER(MATCH($A105, 대여현황!$A:$A, 0)), INDEX(대여현황!F:F, MATCH($A105, 대여현황!$A:$A, 0)), "-")</f>
        <v>-</v>
      </c>
    </row>
    <row r="106" spans="1:6" ht="20" customHeight="1">
      <c r="A106" s="20">
        <v>104</v>
      </c>
      <c r="B106" s="21" t="s">
        <v>292</v>
      </c>
      <c r="C106" s="20" t="str">
        <f>IF(ISNUMBER(MATCH($A106, 대여현황!$A:$A, 0)), INDEX(대여현황!C:C, MATCH($A106, 대여현황!$A:$A, 0)), "")</f>
        <v/>
      </c>
      <c r="D106" s="20" t="str">
        <f>IF(ISNUMBER(MATCH($A106, 대여현황!$A:$A, 0)), INDEX(대여현황!D:D, MATCH($A106, 대여현황!$A:$A, 0)), "")</f>
        <v/>
      </c>
      <c r="E106" s="22" t="str">
        <f>IF(ISNUMBER(MATCH($A106, 대여현황!$A:$A, 0)), INDEX(대여현황!E:E, MATCH($A106, 대여현황!$A:$A, 0)), "")</f>
        <v/>
      </c>
      <c r="F106" s="22" t="str">
        <f>IF(ISNUMBER(MATCH($A106, 대여현황!$A:$A, 0)), INDEX(대여현황!F:F, MATCH($A106, 대여현황!$A:$A, 0)), "-")</f>
        <v>-</v>
      </c>
    </row>
    <row r="107" spans="1:6" ht="20" customHeight="1">
      <c r="A107" s="20">
        <v>105</v>
      </c>
      <c r="B107" s="21" t="s">
        <v>47</v>
      </c>
      <c r="C107" s="20" t="str">
        <f>IF(ISNUMBER(MATCH($A107, 대여현황!$A:$A, 0)), INDEX(대여현황!C:C, MATCH($A107, 대여현황!$A:$A, 0)), "")</f>
        <v/>
      </c>
      <c r="D107" s="20" t="str">
        <f>IF(ISNUMBER(MATCH($A107, 대여현황!$A:$A, 0)), INDEX(대여현황!D:D, MATCH($A107, 대여현황!$A:$A, 0)), "")</f>
        <v/>
      </c>
      <c r="E107" s="22" t="str">
        <f>IF(ISNUMBER(MATCH($A107, 대여현황!$A:$A, 0)), INDEX(대여현황!E:E, MATCH($A107, 대여현황!$A:$A, 0)), "")</f>
        <v/>
      </c>
      <c r="F107" s="22" t="str">
        <f>IF(ISNUMBER(MATCH($A107, 대여현황!$A:$A, 0)), INDEX(대여현황!F:F, MATCH($A107, 대여현황!$A:$A, 0)), "-")</f>
        <v>-</v>
      </c>
    </row>
    <row r="108" spans="1:6" ht="20" customHeight="1">
      <c r="A108" s="20">
        <v>106</v>
      </c>
      <c r="B108" s="21" t="s">
        <v>47</v>
      </c>
      <c r="C108" s="20" t="str">
        <f>IF(ISNUMBER(MATCH($A108, 대여현황!$A:$A, 0)), INDEX(대여현황!C:C, MATCH($A108, 대여현황!$A:$A, 0)), "")</f>
        <v/>
      </c>
      <c r="D108" s="20" t="str">
        <f>IF(ISNUMBER(MATCH($A108, 대여현황!$A:$A, 0)), INDEX(대여현황!D:D, MATCH($A108, 대여현황!$A:$A, 0)), "")</f>
        <v/>
      </c>
      <c r="E108" s="22" t="str">
        <f>IF(ISNUMBER(MATCH($A108, 대여현황!$A:$A, 0)), INDEX(대여현황!E:E, MATCH($A108, 대여현황!$A:$A, 0)), "")</f>
        <v/>
      </c>
      <c r="F108" s="22" t="str">
        <f>IF(ISNUMBER(MATCH($A108, 대여현황!$A:$A, 0)), INDEX(대여현황!F:F, MATCH($A108, 대여현황!$A:$A, 0)), "-")</f>
        <v>-</v>
      </c>
    </row>
    <row r="109" spans="1:6" ht="20" customHeight="1">
      <c r="A109" s="20">
        <v>107</v>
      </c>
      <c r="B109" s="21" t="s">
        <v>161</v>
      </c>
      <c r="C109" s="20" t="str">
        <f>IF(ISNUMBER(MATCH($A109, 대여현황!$A:$A, 0)), INDEX(대여현황!C:C, MATCH($A109, 대여현황!$A:$A, 0)), "")</f>
        <v/>
      </c>
      <c r="D109" s="20" t="str">
        <f>IF(ISNUMBER(MATCH($A109, 대여현황!$A:$A, 0)), INDEX(대여현황!D:D, MATCH($A109, 대여현황!$A:$A, 0)), "")</f>
        <v/>
      </c>
      <c r="E109" s="22" t="str">
        <f>IF(ISNUMBER(MATCH($A109, 대여현황!$A:$A, 0)), INDEX(대여현황!E:E, MATCH($A109, 대여현황!$A:$A, 0)), "")</f>
        <v/>
      </c>
      <c r="F109" s="22" t="str">
        <f>IF(ISNUMBER(MATCH($A109, 대여현황!$A:$A, 0)), INDEX(대여현황!F:F, MATCH($A109, 대여현황!$A:$A, 0)), "-")</f>
        <v>-</v>
      </c>
    </row>
    <row r="110" spans="1:6" ht="20" customHeight="1">
      <c r="A110" s="20">
        <v>108</v>
      </c>
      <c r="B110" s="21" t="s">
        <v>161</v>
      </c>
      <c r="C110" s="20" t="str">
        <f>IF(ISNUMBER(MATCH($A110, 대여현황!$A:$A, 0)), INDEX(대여현황!C:C, MATCH($A110, 대여현황!$A:$A, 0)), "")</f>
        <v/>
      </c>
      <c r="D110" s="20" t="str">
        <f>IF(ISNUMBER(MATCH($A110, 대여현황!$A:$A, 0)), INDEX(대여현황!D:D, MATCH($A110, 대여현황!$A:$A, 0)), "")</f>
        <v/>
      </c>
      <c r="E110" s="22" t="str">
        <f>IF(ISNUMBER(MATCH($A110, 대여현황!$A:$A, 0)), INDEX(대여현황!E:E, MATCH($A110, 대여현황!$A:$A, 0)), "")</f>
        <v/>
      </c>
      <c r="F110" s="22" t="str">
        <f>IF(ISNUMBER(MATCH($A110, 대여현황!$A:$A, 0)), INDEX(대여현황!F:F, MATCH($A110, 대여현황!$A:$A, 0)), "-")</f>
        <v>-</v>
      </c>
    </row>
    <row r="111" spans="1:6" ht="20" customHeight="1">
      <c r="A111" s="20">
        <v>109</v>
      </c>
      <c r="B111" s="21" t="s">
        <v>270</v>
      </c>
      <c r="C111" s="20" t="str">
        <f>IF(ISNUMBER(MATCH($A111, 대여현황!$A:$A, 0)), INDEX(대여현황!C:C, MATCH($A111, 대여현황!$A:$A, 0)), "")</f>
        <v/>
      </c>
      <c r="D111" s="20" t="str">
        <f>IF(ISNUMBER(MATCH($A111, 대여현황!$A:$A, 0)), INDEX(대여현황!D:D, MATCH($A111, 대여현황!$A:$A, 0)), "")</f>
        <v/>
      </c>
      <c r="E111" s="22" t="str">
        <f>IF(ISNUMBER(MATCH($A111, 대여현황!$A:$A, 0)), INDEX(대여현황!E:E, MATCH($A111, 대여현황!$A:$A, 0)), "")</f>
        <v/>
      </c>
      <c r="F111" s="22" t="str">
        <f>IF(ISNUMBER(MATCH($A111, 대여현황!$A:$A, 0)), INDEX(대여현황!F:F, MATCH($A111, 대여현황!$A:$A, 0)), "-")</f>
        <v>-</v>
      </c>
    </row>
    <row r="112" spans="1:6" ht="20" customHeight="1">
      <c r="A112" s="20">
        <v>110</v>
      </c>
      <c r="B112" s="21" t="s">
        <v>293</v>
      </c>
      <c r="C112" s="20" t="str">
        <f>IF(ISNUMBER(MATCH($A112, 대여현황!$A:$A, 0)), INDEX(대여현황!C:C, MATCH($A112, 대여현황!$A:$A, 0)), "")</f>
        <v/>
      </c>
      <c r="D112" s="20" t="str">
        <f>IF(ISNUMBER(MATCH($A112, 대여현황!$A:$A, 0)), INDEX(대여현황!D:D, MATCH($A112, 대여현황!$A:$A, 0)), "")</f>
        <v/>
      </c>
      <c r="E112" s="22" t="str">
        <f>IF(ISNUMBER(MATCH($A112, 대여현황!$A:$A, 0)), INDEX(대여현황!E:E, MATCH($A112, 대여현황!$A:$A, 0)), "")</f>
        <v/>
      </c>
      <c r="F112" s="22" t="str">
        <f>IF(ISNUMBER(MATCH($A112, 대여현황!$A:$A, 0)), INDEX(대여현황!F:F, MATCH($A112, 대여현황!$A:$A, 0)), "-")</f>
        <v>-</v>
      </c>
    </row>
    <row r="113" spans="1:6" ht="20" customHeight="1">
      <c r="A113" s="20"/>
      <c r="B113" s="21"/>
      <c r="C113" s="20" t="str">
        <f>IF(ISNUMBER(MATCH($A113, 대여현황!$A:$A, 0)), INDEX(대여현황!C:C, MATCH($A113, 대여현황!$A:$A, 0)), "")</f>
        <v/>
      </c>
      <c r="D113" s="20" t="str">
        <f>IF(ISNUMBER(MATCH($A113, 대여현황!$A:$A, 0)), INDEX(대여현황!D:D, MATCH($A113, 대여현황!$A:$A, 0)), "")</f>
        <v/>
      </c>
      <c r="E113" s="22" t="str">
        <f>IF(ISNUMBER(MATCH($A113, 대여현황!$A:$A, 0)), INDEX(대여현황!E:E, MATCH($A113, 대여현황!$A:$A, 0)), "")</f>
        <v/>
      </c>
      <c r="F113" s="22" t="str">
        <f>IF(ISNUMBER(MATCH($A113, 대여현황!$A:$A, 0)), INDEX(대여현황!F:F, MATCH($A113, 대여현황!$A:$A, 0)), "-")</f>
        <v>-</v>
      </c>
    </row>
    <row r="114" spans="1:6" ht="20" customHeight="1">
      <c r="A114" s="20"/>
      <c r="B114" s="21"/>
      <c r="C114" s="20" t="str">
        <f>IF(ISNUMBER(MATCH($A114, 대여현황!$A:$A, 0)), INDEX(대여현황!C:C, MATCH($A114, 대여현황!$A:$A, 0)), "")</f>
        <v/>
      </c>
      <c r="D114" s="20" t="str">
        <f>IF(ISNUMBER(MATCH($A114, 대여현황!$A:$A, 0)), INDEX(대여현황!D:D, MATCH($A114, 대여현황!$A:$A, 0)), "")</f>
        <v/>
      </c>
      <c r="E114" s="22" t="str">
        <f>IF(ISNUMBER(MATCH($A114, 대여현황!$A:$A, 0)), INDEX(대여현황!E:E, MATCH($A114, 대여현황!$A:$A, 0)), "")</f>
        <v/>
      </c>
      <c r="F114" s="22" t="str">
        <f>IF(ISNUMBER(MATCH($A114, 대여현황!$A:$A, 0)), INDEX(대여현황!F:F, MATCH($A114, 대여현황!$A:$A, 0)), "-")</f>
        <v>-</v>
      </c>
    </row>
    <row r="115" spans="1:6" ht="20" customHeight="1">
      <c r="A115" s="20"/>
      <c r="B115" s="21"/>
      <c r="C115" s="20" t="str">
        <f>IF(ISNUMBER(MATCH($A115, 대여현황!$A:$A, 0)), INDEX(대여현황!C:C, MATCH($A115, 대여현황!$A:$A, 0)), "")</f>
        <v/>
      </c>
      <c r="D115" s="20" t="str">
        <f>IF(ISNUMBER(MATCH($A115, 대여현황!$A:$A, 0)), INDEX(대여현황!D:D, MATCH($A115, 대여현황!$A:$A, 0)), "")</f>
        <v/>
      </c>
      <c r="E115" s="22" t="str">
        <f>IF(ISNUMBER(MATCH($A115, 대여현황!$A:$A, 0)), INDEX(대여현황!E:E, MATCH($A115, 대여현황!$A:$A, 0)), "")</f>
        <v/>
      </c>
      <c r="F115" s="22" t="str">
        <f>IF(ISNUMBER(MATCH($A115, 대여현황!$A:$A, 0)), INDEX(대여현황!F:F, MATCH($A115, 대여현황!$A:$A, 0)), "-")</f>
        <v>-</v>
      </c>
    </row>
    <row r="116" spans="1:6" ht="20" customHeight="1">
      <c r="A116" s="20"/>
      <c r="B116" s="21"/>
      <c r="C116" s="20" t="str">
        <f>IF(ISNUMBER(MATCH($A116, 대여현황!$A:$A, 0)), INDEX(대여현황!C:C, MATCH($A116, 대여현황!$A:$A, 0)), "")</f>
        <v/>
      </c>
      <c r="D116" s="20" t="str">
        <f>IF(ISNUMBER(MATCH($A116, 대여현황!$A:$A, 0)), INDEX(대여현황!D:D, MATCH($A116, 대여현황!$A:$A, 0)), "")</f>
        <v/>
      </c>
      <c r="E116" s="22" t="str">
        <f>IF(ISNUMBER(MATCH($A116, 대여현황!$A:$A, 0)), INDEX(대여현황!E:E, MATCH($A116, 대여현황!$A:$A, 0)), "")</f>
        <v/>
      </c>
      <c r="F116" s="22" t="str">
        <f>IF(ISNUMBER(MATCH($A116, 대여현황!$A:$A, 0)), INDEX(대여현황!F:F, MATCH($A116, 대여현황!$A:$A, 0)), "-")</f>
        <v>-</v>
      </c>
    </row>
    <row r="117" spans="1:6" ht="20" customHeight="1">
      <c r="A117" s="20"/>
      <c r="B117" s="21"/>
      <c r="C117" s="20" t="str">
        <f>IF(ISNUMBER(MATCH($A117, 대여현황!$A:$A, 0)), INDEX(대여현황!C:C, MATCH($A117, 대여현황!$A:$A, 0)), "")</f>
        <v/>
      </c>
      <c r="D117" s="20" t="str">
        <f>IF(ISNUMBER(MATCH($A117, 대여현황!$A:$A, 0)), INDEX(대여현황!D:D, MATCH($A117, 대여현황!$A:$A, 0)), "")</f>
        <v/>
      </c>
      <c r="E117" s="22" t="str">
        <f>IF(ISNUMBER(MATCH($A117, 대여현황!$A:$A, 0)), INDEX(대여현황!E:E, MATCH($A117, 대여현황!$A:$A, 0)), "")</f>
        <v/>
      </c>
      <c r="F117" s="22" t="str">
        <f>IF(ISNUMBER(MATCH($A117, 대여현황!$A:$A, 0)), INDEX(대여현황!F:F, MATCH($A117, 대여현황!$A:$A, 0)), "-")</f>
        <v>-</v>
      </c>
    </row>
    <row r="118" spans="1:6" ht="20" customHeight="1">
      <c r="A118" s="20"/>
      <c r="B118" s="21"/>
      <c r="C118" s="20" t="str">
        <f>IF(ISNUMBER(MATCH($A118, 대여현황!$A:$A, 0)), INDEX(대여현황!C:C, MATCH($A118, 대여현황!$A:$A, 0)), "")</f>
        <v/>
      </c>
      <c r="D118" s="20" t="str">
        <f>IF(ISNUMBER(MATCH($A118, 대여현황!$A:$A, 0)), INDEX(대여현황!D:D, MATCH($A118, 대여현황!$A:$A, 0)), "")</f>
        <v/>
      </c>
      <c r="E118" s="22" t="str">
        <f>IF(ISNUMBER(MATCH($A118, 대여현황!$A:$A, 0)), INDEX(대여현황!E:E, MATCH($A118, 대여현황!$A:$A, 0)), "")</f>
        <v/>
      </c>
      <c r="F118" s="22" t="str">
        <f>IF(ISNUMBER(MATCH($A118, 대여현황!$A:$A, 0)), INDEX(대여현황!F:F, MATCH($A118, 대여현황!$A:$A, 0)), "-")</f>
        <v>-</v>
      </c>
    </row>
    <row r="119" spans="1:6" ht="20" customHeight="1">
      <c r="A119" s="20"/>
      <c r="B119" s="21"/>
      <c r="C119" s="20" t="str">
        <f>IF(ISNUMBER(MATCH($A119, 대여현황!$A:$A, 0)), INDEX(대여현황!C:C, MATCH($A119, 대여현황!$A:$A, 0)), "")</f>
        <v/>
      </c>
      <c r="D119" s="20" t="str">
        <f>IF(ISNUMBER(MATCH($A119, 대여현황!$A:$A, 0)), INDEX(대여현황!D:D, MATCH($A119, 대여현황!$A:$A, 0)), "")</f>
        <v/>
      </c>
      <c r="E119" s="22" t="str">
        <f>IF(ISNUMBER(MATCH($A119, 대여현황!$A:$A, 0)), INDEX(대여현황!E:E, MATCH($A119, 대여현황!$A:$A, 0)), "")</f>
        <v/>
      </c>
      <c r="F119" s="22" t="str">
        <f>IF(ISNUMBER(MATCH($A119, 대여현황!$A:$A, 0)), INDEX(대여현황!F:F, MATCH($A119, 대여현황!$A:$A, 0)), "-")</f>
        <v>-</v>
      </c>
    </row>
    <row r="120" spans="1:6" ht="20" customHeight="1">
      <c r="A120" s="20"/>
      <c r="B120" s="21"/>
      <c r="C120" s="20" t="str">
        <f>IF(ISNUMBER(MATCH($A120, 대여현황!$A:$A, 0)), INDEX(대여현황!C:C, MATCH($A120, 대여현황!$A:$A, 0)), "")</f>
        <v/>
      </c>
      <c r="D120" s="20" t="str">
        <f>IF(ISNUMBER(MATCH($A120, 대여현황!$A:$A, 0)), INDEX(대여현황!D:D, MATCH($A120, 대여현황!$A:$A, 0)), "")</f>
        <v/>
      </c>
      <c r="E120" s="22" t="str">
        <f>IF(ISNUMBER(MATCH($A120, 대여현황!$A:$A, 0)), INDEX(대여현황!E:E, MATCH($A120, 대여현황!$A:$A, 0)), "")</f>
        <v/>
      </c>
      <c r="F120" s="22" t="str">
        <f>IF(ISNUMBER(MATCH($A120, 대여현황!$A:$A, 0)), INDEX(대여현황!F:F, MATCH($A120, 대여현황!$A:$A, 0)), "-")</f>
        <v>-</v>
      </c>
    </row>
    <row r="121" spans="1:6" ht="20" customHeight="1">
      <c r="A121" s="20"/>
      <c r="B121" s="21"/>
      <c r="C121" s="20" t="str">
        <f>IF(ISNUMBER(MATCH($A121, 대여현황!$A:$A, 0)), INDEX(대여현황!C:C, MATCH($A121, 대여현황!$A:$A, 0)), "")</f>
        <v/>
      </c>
      <c r="D121" s="20" t="str">
        <f>IF(ISNUMBER(MATCH($A121, 대여현황!$A:$A, 0)), INDEX(대여현황!D:D, MATCH($A121, 대여현황!$A:$A, 0)), "")</f>
        <v/>
      </c>
      <c r="E121" s="22" t="str">
        <f>IF(ISNUMBER(MATCH($A121, 대여현황!$A:$A, 0)), INDEX(대여현황!E:E, MATCH($A121, 대여현황!$A:$A, 0)), "")</f>
        <v/>
      </c>
      <c r="F121" s="22" t="str">
        <f>IF(ISNUMBER(MATCH($A121, 대여현황!$A:$A, 0)), INDEX(대여현황!F:F, MATCH($A121, 대여현황!$A:$A, 0)), "-")</f>
        <v>-</v>
      </c>
    </row>
    <row r="122" spans="1:6" ht="20" customHeight="1">
      <c r="A122" s="20"/>
      <c r="B122" s="21"/>
      <c r="C122" s="20" t="str">
        <f>IF(ISNUMBER(MATCH($A122, 대여현황!$A:$A, 0)), INDEX(대여현황!C:C, MATCH($A122, 대여현황!$A:$A, 0)), "")</f>
        <v/>
      </c>
      <c r="D122" s="20" t="str">
        <f>IF(ISNUMBER(MATCH($A122, 대여현황!$A:$A, 0)), INDEX(대여현황!D:D, MATCH($A122, 대여현황!$A:$A, 0)), "")</f>
        <v/>
      </c>
      <c r="E122" s="22" t="str">
        <f>IF(ISNUMBER(MATCH($A122, 대여현황!$A:$A, 0)), INDEX(대여현황!E:E, MATCH($A122, 대여현황!$A:$A, 0)), "")</f>
        <v/>
      </c>
      <c r="F122" s="22" t="str">
        <f>IF(ISNUMBER(MATCH($A122, 대여현황!$A:$A, 0)), INDEX(대여현황!F:F, MATCH($A122, 대여현황!$A:$A, 0)), "-")</f>
        <v>-</v>
      </c>
    </row>
    <row r="123" spans="1:6" ht="20" customHeight="1">
      <c r="A123" s="20"/>
      <c r="B123" s="21"/>
      <c r="C123" s="20" t="str">
        <f>IF(ISNUMBER(MATCH($A123, 대여현황!$A:$A, 0)), INDEX(대여현황!C:C, MATCH($A123, 대여현황!$A:$A, 0)), "")</f>
        <v/>
      </c>
      <c r="D123" s="20" t="str">
        <f>IF(ISNUMBER(MATCH($A123, 대여현황!$A:$A, 0)), INDEX(대여현황!D:D, MATCH($A123, 대여현황!$A:$A, 0)), "")</f>
        <v/>
      </c>
      <c r="E123" s="22" t="str">
        <f>IF(ISNUMBER(MATCH($A123, 대여현황!$A:$A, 0)), INDEX(대여현황!E:E, MATCH($A123, 대여현황!$A:$A, 0)), "")</f>
        <v/>
      </c>
      <c r="F123" s="22" t="str">
        <f>IF(ISNUMBER(MATCH($A123, 대여현황!$A:$A, 0)), INDEX(대여현황!F:F, MATCH($A123, 대여현황!$A:$A, 0)), "-")</f>
        <v>-</v>
      </c>
    </row>
    <row r="124" spans="1:6" ht="20" customHeight="1">
      <c r="A124" s="20"/>
      <c r="B124" s="21"/>
      <c r="C124" s="20" t="str">
        <f>IF(ISNUMBER(MATCH($A124, 대여현황!$A:$A, 0)), INDEX(대여현황!C:C, MATCH($A124, 대여현황!$A:$A, 0)), "")</f>
        <v/>
      </c>
      <c r="D124" s="20" t="str">
        <f>IF(ISNUMBER(MATCH($A124, 대여현황!$A:$A, 0)), INDEX(대여현황!D:D, MATCH($A124, 대여현황!$A:$A, 0)), "")</f>
        <v/>
      </c>
      <c r="E124" s="22" t="str">
        <f>IF(ISNUMBER(MATCH($A124, 대여현황!$A:$A, 0)), INDEX(대여현황!E:E, MATCH($A124, 대여현황!$A:$A, 0)), "")</f>
        <v/>
      </c>
      <c r="F124" s="22" t="str">
        <f>IF(ISNUMBER(MATCH($A124, 대여현황!$A:$A, 0)), INDEX(대여현황!F:F, MATCH($A124, 대여현황!$A:$A, 0)), "-")</f>
        <v>-</v>
      </c>
    </row>
    <row r="125" spans="1:6" ht="20" customHeight="1">
      <c r="A125" s="20"/>
      <c r="B125" s="21"/>
      <c r="C125" s="20" t="str">
        <f>IF(ISNUMBER(MATCH($A125, 대여현황!$A:$A, 0)), INDEX(대여현황!C:C, MATCH($A125, 대여현황!$A:$A, 0)), "")</f>
        <v/>
      </c>
      <c r="D125" s="20" t="str">
        <f>IF(ISNUMBER(MATCH($A125, 대여현황!$A:$A, 0)), INDEX(대여현황!D:D, MATCH($A125, 대여현황!$A:$A, 0)), "")</f>
        <v/>
      </c>
      <c r="E125" s="22" t="str">
        <f>IF(ISNUMBER(MATCH($A125, 대여현황!$A:$A, 0)), INDEX(대여현황!E:E, MATCH($A125, 대여현황!$A:$A, 0)), "")</f>
        <v/>
      </c>
      <c r="F125" s="22" t="str">
        <f>IF(ISNUMBER(MATCH($A125, 대여현황!$A:$A, 0)), INDEX(대여현황!F:F, MATCH($A125, 대여현황!$A:$A, 0)), "-")</f>
        <v>-</v>
      </c>
    </row>
    <row r="126" spans="1:6" ht="20" customHeight="1">
      <c r="A126" s="20"/>
      <c r="B126" s="21"/>
      <c r="C126" s="20" t="str">
        <f>IF(ISNUMBER(MATCH($A126, 대여현황!$A:$A, 0)), INDEX(대여현황!C:C, MATCH($A126, 대여현황!$A:$A, 0)), "")</f>
        <v/>
      </c>
      <c r="D126" s="20" t="str">
        <f>IF(ISNUMBER(MATCH($A126, 대여현황!$A:$A, 0)), INDEX(대여현황!D:D, MATCH($A126, 대여현황!$A:$A, 0)), "")</f>
        <v/>
      </c>
      <c r="E126" s="22" t="str">
        <f>IF(ISNUMBER(MATCH($A126, 대여현황!$A:$A, 0)), INDEX(대여현황!E:E, MATCH($A126, 대여현황!$A:$A, 0)), "")</f>
        <v/>
      </c>
      <c r="F126" s="22" t="str">
        <f>IF(ISNUMBER(MATCH($A126, 대여현황!$A:$A, 0)), INDEX(대여현황!F:F, MATCH($A126, 대여현황!$A:$A, 0)), "-")</f>
        <v>-</v>
      </c>
    </row>
    <row r="127" spans="1:6" ht="20" customHeight="1">
      <c r="A127" s="20"/>
      <c r="B127" s="21"/>
      <c r="C127" s="20" t="str">
        <f>IF(ISNUMBER(MATCH($A127, 대여현황!$A:$A, 0)), INDEX(대여현황!C:C, MATCH($A127, 대여현황!$A:$A, 0)), "")</f>
        <v/>
      </c>
      <c r="D127" s="20" t="str">
        <f>IF(ISNUMBER(MATCH($A127, 대여현황!$A:$A, 0)), INDEX(대여현황!D:D, MATCH($A127, 대여현황!$A:$A, 0)), "")</f>
        <v/>
      </c>
      <c r="E127" s="22" t="str">
        <f>IF(ISNUMBER(MATCH($A127, 대여현황!$A:$A, 0)), INDEX(대여현황!E:E, MATCH($A127, 대여현황!$A:$A, 0)), "")</f>
        <v/>
      </c>
      <c r="F127" s="22" t="str">
        <f>IF(ISNUMBER(MATCH($A127, 대여현황!$A:$A, 0)), INDEX(대여현황!F:F, MATCH($A127, 대여현황!$A:$A, 0)), "-")</f>
        <v>-</v>
      </c>
    </row>
    <row r="128" spans="1:6" ht="20" customHeight="1">
      <c r="A128" s="20"/>
      <c r="B128" s="21"/>
      <c r="C128" s="20" t="str">
        <f>IF(ISNUMBER(MATCH($A128, 대여현황!$A:$A, 0)), INDEX(대여현황!C:C, MATCH($A128, 대여현황!$A:$A, 0)), "")</f>
        <v/>
      </c>
      <c r="D128" s="20" t="str">
        <f>IF(ISNUMBER(MATCH($A128, 대여현황!$A:$A, 0)), INDEX(대여현황!D:D, MATCH($A128, 대여현황!$A:$A, 0)), "")</f>
        <v/>
      </c>
      <c r="E128" s="22" t="str">
        <f>IF(ISNUMBER(MATCH($A128, 대여현황!$A:$A, 0)), INDEX(대여현황!E:E, MATCH($A128, 대여현황!$A:$A, 0)), "")</f>
        <v/>
      </c>
      <c r="F128" s="22" t="str">
        <f>IF(ISNUMBER(MATCH($A128, 대여현황!$A:$A, 0)), INDEX(대여현황!F:F, MATCH($A128, 대여현황!$A:$A, 0)), "-")</f>
        <v>-</v>
      </c>
    </row>
    <row r="129" spans="1:6" ht="20" customHeight="1">
      <c r="A129" s="9"/>
      <c r="B129" s="3"/>
      <c r="C129" s="9" t="str">
        <f>IF(ISNUMBER(MATCH($A129, 대여현황!$A:$A, 0)), INDEX(대여현황!C:C, MATCH($A129, 대여현황!$A:$A, 0)), "")</f>
        <v/>
      </c>
      <c r="D129" s="9" t="str">
        <f>IF(ISNUMBER(MATCH($A129, 대여현황!$A:$A, 0)), INDEX(대여현황!D:D, MATCH($A129, 대여현황!$A:$A, 0)), "")</f>
        <v/>
      </c>
      <c r="E129" s="10" t="str">
        <f>IF(ISNUMBER(MATCH($A129, 대여현황!$A:$A, 0)), INDEX(대여현황!E:E, MATCH($A129, 대여현황!$A:$A, 0)), "")</f>
        <v/>
      </c>
      <c r="F129" s="22" t="str">
        <f>IF(ISNUMBER(MATCH($A129, 대여현황!$A:$A, 0)), INDEX(대여현황!F:F, MATCH($A129, 대여현황!$A:$A, 0)), "-")</f>
        <v>-</v>
      </c>
    </row>
    <row r="130" spans="1:6" ht="20" customHeight="1">
      <c r="A130" s="9"/>
      <c r="B130" s="3"/>
      <c r="C130" s="9" t="str">
        <f>IF(ISNUMBER(MATCH($A130, 대여현황!$A:$A, 0)), INDEX(대여현황!C:C, MATCH($A130, 대여현황!$A:$A, 0)), "")</f>
        <v/>
      </c>
      <c r="D130" s="9" t="str">
        <f>IF(ISNUMBER(MATCH($A130, 대여현황!$A:$A, 0)), INDEX(대여현황!D:D, MATCH($A130, 대여현황!$A:$A, 0)), "")</f>
        <v/>
      </c>
      <c r="E130" s="10" t="str">
        <f>IF(ISNUMBER(MATCH($A130, 대여현황!$A:$A, 0)), INDEX(대여현황!E:E, MATCH($A130, 대여현황!$A:$A, 0)), "")</f>
        <v/>
      </c>
      <c r="F130" s="22" t="str">
        <f>IF(ISNUMBER(MATCH($A130, 대여현황!$A:$A, 0)), INDEX(대여현황!F:F, MATCH($A130, 대여현황!$A:$A, 0)), "-")</f>
        <v>-</v>
      </c>
    </row>
    <row r="131" spans="1:6" ht="20" customHeight="1">
      <c r="A131" s="9"/>
      <c r="B131" s="3"/>
      <c r="C131" s="9" t="str">
        <f>IF(ISNUMBER(MATCH($A131, 대여현황!$A:$A, 0)), INDEX(대여현황!C:C, MATCH($A131, 대여현황!$A:$A, 0)), "")</f>
        <v/>
      </c>
      <c r="D131" s="9" t="str">
        <f>IF(ISNUMBER(MATCH($A131, 대여현황!$A:$A, 0)), INDEX(대여현황!D:D, MATCH($A131, 대여현황!$A:$A, 0)), "")</f>
        <v/>
      </c>
      <c r="E131" s="10" t="str">
        <f>IF(ISNUMBER(MATCH($A131, 대여현황!$A:$A, 0)), INDEX(대여현황!E:E, MATCH($A131, 대여현황!$A:$A, 0)), "")</f>
        <v/>
      </c>
      <c r="F131" s="22" t="str">
        <f>IF(ISNUMBER(MATCH($A131, 대여현황!$A:$A, 0)), INDEX(대여현황!F:F, MATCH($A131, 대여현황!$A:$A, 0)), "-")</f>
        <v>-</v>
      </c>
    </row>
    <row r="132" spans="1:6" ht="20" customHeight="1">
      <c r="A132" s="9"/>
      <c r="B132" s="3"/>
      <c r="C132" s="9" t="str">
        <f>IF(ISNUMBER(MATCH($A132, 대여현황!$A:$A, 0)), INDEX(대여현황!C:C, MATCH($A132, 대여현황!$A:$A, 0)), "")</f>
        <v/>
      </c>
      <c r="D132" s="9" t="str">
        <f>IF(ISNUMBER(MATCH($A132, 대여현황!$A:$A, 0)), INDEX(대여현황!D:D, MATCH($A132, 대여현황!$A:$A, 0)), "")</f>
        <v/>
      </c>
      <c r="E132" s="10" t="str">
        <f>IF(ISNUMBER(MATCH($A132, 대여현황!$A:$A, 0)), INDEX(대여현황!E:E, MATCH($A132, 대여현황!$A:$A, 0)), "")</f>
        <v/>
      </c>
      <c r="F132" s="22" t="str">
        <f>IF(ISNUMBER(MATCH($A132, 대여현황!$A:$A, 0)), INDEX(대여현황!F:F, MATCH($A132, 대여현황!$A:$A, 0)), "-")</f>
        <v>-</v>
      </c>
    </row>
    <row r="133" spans="1:6" ht="20" customHeight="1">
      <c r="A133" s="9"/>
      <c r="B133" s="3"/>
      <c r="C133" s="9" t="str">
        <f>IF(ISNUMBER(MATCH($A133, 대여현황!$A:$A, 0)), INDEX(대여현황!C:C, MATCH($A133, 대여현황!$A:$A, 0)), "")</f>
        <v/>
      </c>
      <c r="D133" s="9" t="str">
        <f>IF(ISNUMBER(MATCH($A133, 대여현황!$A:$A, 0)), INDEX(대여현황!D:D, MATCH($A133, 대여현황!$A:$A, 0)), "")</f>
        <v/>
      </c>
      <c r="E133" s="10" t="str">
        <f>IF(ISNUMBER(MATCH($A133, 대여현황!$A:$A, 0)), INDEX(대여현황!E:E, MATCH($A133, 대여현황!$A:$A, 0)), "")</f>
        <v/>
      </c>
      <c r="F133" s="22" t="str">
        <f>IF(ISNUMBER(MATCH($A133, 대여현황!$A:$A, 0)), INDEX(대여현황!F:F, MATCH($A133, 대여현황!$A:$A, 0)), "-")</f>
        <v>-</v>
      </c>
    </row>
    <row r="134" spans="1:6" ht="20" customHeight="1">
      <c r="A134" s="9"/>
      <c r="B134" s="3"/>
      <c r="C134" s="9" t="str">
        <f>IF(ISNUMBER(MATCH($A134, 대여현황!$A:$A, 0)), INDEX(대여현황!C:C, MATCH($A134, 대여현황!$A:$A, 0)), "")</f>
        <v/>
      </c>
      <c r="D134" s="9" t="str">
        <f>IF(ISNUMBER(MATCH($A134, 대여현황!$A:$A, 0)), INDEX(대여현황!D:D, MATCH($A134, 대여현황!$A:$A, 0)), "")</f>
        <v/>
      </c>
      <c r="E134" s="10" t="str">
        <f>IF(ISNUMBER(MATCH($A134, 대여현황!$A:$A, 0)), INDEX(대여현황!E:E, MATCH($A134, 대여현황!$A:$A, 0)), "")</f>
        <v/>
      </c>
      <c r="F134" s="22" t="str">
        <f>IF(ISNUMBER(MATCH($A134, 대여현황!$A:$A, 0)), INDEX(대여현황!F:F, MATCH($A134, 대여현황!$A:$A, 0)), "-")</f>
        <v>-</v>
      </c>
    </row>
    <row r="135" spans="1:6" ht="20" customHeight="1">
      <c r="A135" s="9"/>
      <c r="B135" s="3"/>
      <c r="C135" s="9" t="str">
        <f>IF(ISNUMBER(MATCH($A135, 대여현황!$A:$A, 0)), INDEX(대여현황!C:C, MATCH($A135, 대여현황!$A:$A, 0)), "")</f>
        <v/>
      </c>
      <c r="D135" s="9" t="str">
        <f>IF(ISNUMBER(MATCH($A135, 대여현황!$A:$A, 0)), INDEX(대여현황!D:D, MATCH($A135, 대여현황!$A:$A, 0)), "")</f>
        <v/>
      </c>
      <c r="E135" s="10" t="str">
        <f>IF(ISNUMBER(MATCH($A135, 대여현황!$A:$A, 0)), INDEX(대여현황!E:E, MATCH($A135, 대여현황!$A:$A, 0)), "")</f>
        <v/>
      </c>
      <c r="F135" s="22" t="str">
        <f>IF(ISNUMBER(MATCH($A135, 대여현황!$A:$A, 0)), INDEX(대여현황!F:F, MATCH($A135, 대여현황!$A:$A, 0)), "-")</f>
        <v>-</v>
      </c>
    </row>
    <row r="136" spans="1:6" ht="20" customHeight="1">
      <c r="A136" s="9"/>
      <c r="B136" s="3"/>
      <c r="C136" s="9" t="str">
        <f>IF(ISNUMBER(MATCH($A136, 대여현황!$A:$A, 0)), INDEX(대여현황!C:C, MATCH($A136, 대여현황!$A:$A, 0)), "")</f>
        <v/>
      </c>
      <c r="D136" s="9" t="str">
        <f>IF(ISNUMBER(MATCH($A136, 대여현황!$A:$A, 0)), INDEX(대여현황!D:D, MATCH($A136, 대여현황!$A:$A, 0)), "")</f>
        <v/>
      </c>
      <c r="E136" s="10" t="str">
        <f>IF(ISNUMBER(MATCH($A136, 대여현황!$A:$A, 0)), INDEX(대여현황!E:E, MATCH($A136, 대여현황!$A:$A, 0)), "")</f>
        <v/>
      </c>
      <c r="F136" s="22" t="str">
        <f>IF(ISNUMBER(MATCH($A136, 대여현황!$A:$A, 0)), INDEX(대여현황!F:F, MATCH($A136, 대여현황!$A:$A, 0)), "-")</f>
        <v>-</v>
      </c>
    </row>
    <row r="137" spans="1:6" ht="20" customHeight="1">
      <c r="A137" s="9"/>
      <c r="B137" s="3"/>
      <c r="C137" s="9" t="str">
        <f>IF(ISNUMBER(MATCH($A137, 대여현황!$A:$A, 0)), INDEX(대여현황!C:C, MATCH($A137, 대여현황!$A:$A, 0)), "")</f>
        <v/>
      </c>
      <c r="D137" s="9" t="str">
        <f>IF(ISNUMBER(MATCH($A137, 대여현황!$A:$A, 0)), INDEX(대여현황!D:D, MATCH($A137, 대여현황!$A:$A, 0)), "")</f>
        <v/>
      </c>
      <c r="E137" s="10" t="str">
        <f>IF(ISNUMBER(MATCH($A137, 대여현황!$A:$A, 0)), INDEX(대여현황!E:E, MATCH($A137, 대여현황!$A:$A, 0)), "")</f>
        <v/>
      </c>
      <c r="F137" s="22" t="str">
        <f>IF(ISNUMBER(MATCH($A137, 대여현황!$A:$A, 0)), INDEX(대여현황!F:F, MATCH($A137, 대여현황!$A:$A, 0)), "-")</f>
        <v>-</v>
      </c>
    </row>
    <row r="138" spans="1:6" ht="20" customHeight="1">
      <c r="A138" s="9"/>
      <c r="B138" s="3"/>
      <c r="C138" s="9" t="str">
        <f>IF(ISNUMBER(MATCH($A138, 대여현황!$A:$A, 0)), INDEX(대여현황!C:C, MATCH($A138, 대여현황!$A:$A, 0)), "")</f>
        <v/>
      </c>
      <c r="D138" s="9" t="str">
        <f>IF(ISNUMBER(MATCH($A138, 대여현황!$A:$A, 0)), INDEX(대여현황!D:D, MATCH($A138, 대여현황!$A:$A, 0)), "")</f>
        <v/>
      </c>
      <c r="E138" s="10" t="str">
        <f>IF(ISNUMBER(MATCH($A138, 대여현황!$A:$A, 0)), INDEX(대여현황!E:E, MATCH($A138, 대여현황!$A:$A, 0)), "")</f>
        <v/>
      </c>
      <c r="F138" s="22" t="str">
        <f>IF(ISNUMBER(MATCH($A138, 대여현황!$A:$A, 0)), INDEX(대여현황!F:F, MATCH($A138, 대여현황!$A:$A, 0)), "-")</f>
        <v>-</v>
      </c>
    </row>
    <row r="139" spans="1:6" ht="20" customHeight="1">
      <c r="A139" s="9"/>
      <c r="B139" s="3"/>
      <c r="C139" s="9" t="str">
        <f>IF(ISNUMBER(MATCH($A139, 대여현황!$A:$A, 0)), INDEX(대여현황!C:C, MATCH($A139, 대여현황!$A:$A, 0)), "")</f>
        <v/>
      </c>
      <c r="D139" s="9" t="str">
        <f>IF(ISNUMBER(MATCH($A139, 대여현황!$A:$A, 0)), INDEX(대여현황!D:D, MATCH($A139, 대여현황!$A:$A, 0)), "")</f>
        <v/>
      </c>
      <c r="E139" s="10" t="str">
        <f>IF(ISNUMBER(MATCH($A139, 대여현황!$A:$A, 0)), INDEX(대여현황!E:E, MATCH($A139, 대여현황!$A:$A, 0)), "")</f>
        <v/>
      </c>
      <c r="F139" s="22" t="str">
        <f>IF(ISNUMBER(MATCH($A139, 대여현황!$A:$A, 0)), INDEX(대여현황!F:F, MATCH($A139, 대여현황!$A:$A, 0)), "-")</f>
        <v>-</v>
      </c>
    </row>
    <row r="140" spans="1:6" ht="20" customHeight="1">
      <c r="A140" s="9"/>
      <c r="B140" s="3"/>
      <c r="C140" s="9" t="str">
        <f>IF(ISNUMBER(MATCH($A140, 대여현황!$A:$A, 0)), INDEX(대여현황!C:C, MATCH($A140, 대여현황!$A:$A, 0)), "")</f>
        <v/>
      </c>
      <c r="D140" s="9" t="str">
        <f>IF(ISNUMBER(MATCH($A140, 대여현황!$A:$A, 0)), INDEX(대여현황!D:D, MATCH($A140, 대여현황!$A:$A, 0)), "")</f>
        <v/>
      </c>
      <c r="E140" s="10" t="str">
        <f>IF(ISNUMBER(MATCH($A140, 대여현황!$A:$A, 0)), INDEX(대여현황!E:E, MATCH($A140, 대여현황!$A:$A, 0)), "")</f>
        <v/>
      </c>
      <c r="F140" s="22" t="str">
        <f>IF(ISNUMBER(MATCH($A140, 대여현황!$A:$A, 0)), INDEX(대여현황!F:F, MATCH($A140, 대여현황!$A:$A, 0)), "-")</f>
        <v>-</v>
      </c>
    </row>
    <row r="141" spans="1:6" ht="20" customHeight="1">
      <c r="A141" s="9"/>
      <c r="B141" s="3"/>
      <c r="C141" s="9" t="str">
        <f>IF(ISNUMBER(MATCH($A141, 대여현황!$A:$A, 0)), INDEX(대여현황!C:C, MATCH($A141, 대여현황!$A:$A, 0)), "")</f>
        <v/>
      </c>
      <c r="D141" s="9" t="str">
        <f>IF(ISNUMBER(MATCH($A141, 대여현황!$A:$A, 0)), INDEX(대여현황!D:D, MATCH($A141, 대여현황!$A:$A, 0)), "")</f>
        <v/>
      </c>
      <c r="E141" s="10" t="str">
        <f>IF(ISNUMBER(MATCH($A141, 대여현황!$A:$A, 0)), INDEX(대여현황!E:E, MATCH($A141, 대여현황!$A:$A, 0)), "")</f>
        <v/>
      </c>
      <c r="F141" s="22" t="str">
        <f>IF(ISNUMBER(MATCH($A141, 대여현황!$A:$A, 0)), INDEX(대여현황!F:F, MATCH($A141, 대여현황!$A:$A, 0)), "-")</f>
        <v>-</v>
      </c>
    </row>
    <row r="142" spans="1:6" ht="20" customHeight="1">
      <c r="A142" s="9"/>
      <c r="B142" s="3"/>
      <c r="C142" s="9" t="str">
        <f>IF(ISNUMBER(MATCH($A142, 대여현황!$A:$A, 0)), INDEX(대여현황!C:C, MATCH($A142, 대여현황!$A:$A, 0)), "")</f>
        <v/>
      </c>
      <c r="D142" s="9" t="str">
        <f>IF(ISNUMBER(MATCH($A142, 대여현황!$A:$A, 0)), INDEX(대여현황!D:D, MATCH($A142, 대여현황!$A:$A, 0)), "")</f>
        <v/>
      </c>
      <c r="E142" s="10" t="str">
        <f>IF(ISNUMBER(MATCH($A142, 대여현황!$A:$A, 0)), INDEX(대여현황!E:E, MATCH($A142, 대여현황!$A:$A, 0)), "")</f>
        <v/>
      </c>
      <c r="F142" s="22" t="str">
        <f>IF(ISNUMBER(MATCH($A142, 대여현황!$A:$A, 0)), INDEX(대여현황!F:F, MATCH($A142, 대여현황!$A:$A, 0)), "-")</f>
        <v>-</v>
      </c>
    </row>
    <row r="143" spans="1:6" ht="20" customHeight="1">
      <c r="A143" s="9"/>
      <c r="B143" s="3"/>
      <c r="C143" s="9" t="str">
        <f>IF(ISNUMBER(MATCH($A143, 대여현황!$A:$A, 0)), INDEX(대여현황!C:C, MATCH($A143, 대여현황!$A:$A, 0)), "")</f>
        <v/>
      </c>
      <c r="D143" s="9" t="str">
        <f>IF(ISNUMBER(MATCH($A143, 대여현황!$A:$A, 0)), INDEX(대여현황!D:D, MATCH($A143, 대여현황!$A:$A, 0)), "")</f>
        <v/>
      </c>
      <c r="E143" s="10" t="str">
        <f>IF(ISNUMBER(MATCH($A143, 대여현황!$A:$A, 0)), INDEX(대여현황!E:E, MATCH($A143, 대여현황!$A:$A, 0)), "")</f>
        <v/>
      </c>
      <c r="F143" s="22" t="str">
        <f>IF(ISNUMBER(MATCH($A143, 대여현황!$A:$A, 0)), INDEX(대여현황!F:F, MATCH($A143, 대여현황!$A:$A, 0)), "-")</f>
        <v>-</v>
      </c>
    </row>
    <row r="144" spans="1:6" ht="20" customHeight="1">
      <c r="A144" s="9"/>
      <c r="B144" s="3"/>
      <c r="C144" s="9" t="str">
        <f>IF(ISNUMBER(MATCH($A144, 대여현황!$A:$A, 0)), INDEX(대여현황!C:C, MATCH($A144, 대여현황!$A:$A, 0)), "")</f>
        <v/>
      </c>
      <c r="D144" s="9" t="str">
        <f>IF(ISNUMBER(MATCH($A144, 대여현황!$A:$A, 0)), INDEX(대여현황!D:D, MATCH($A144, 대여현황!$A:$A, 0)), "")</f>
        <v/>
      </c>
      <c r="E144" s="10" t="str">
        <f>IF(ISNUMBER(MATCH($A144, 대여현황!$A:$A, 0)), INDEX(대여현황!E:E, MATCH($A144, 대여현황!$A:$A, 0)), "")</f>
        <v/>
      </c>
      <c r="F144" s="22" t="str">
        <f>IF(ISNUMBER(MATCH($A144, 대여현황!$A:$A, 0)), INDEX(대여현황!F:F, MATCH($A144, 대여현황!$A:$A, 0)), "-")</f>
        <v>-</v>
      </c>
    </row>
    <row r="145" spans="1:6" ht="20" customHeight="1">
      <c r="A145" s="9"/>
      <c r="B145" s="3"/>
      <c r="C145" s="9" t="str">
        <f>IF(ISNUMBER(MATCH($A145, 대여현황!$A:$A, 0)), INDEX(대여현황!C:C, MATCH($A145, 대여현황!$A:$A, 0)), "")</f>
        <v/>
      </c>
      <c r="D145" s="9" t="str">
        <f>IF(ISNUMBER(MATCH($A145, 대여현황!$A:$A, 0)), INDEX(대여현황!D:D, MATCH($A145, 대여현황!$A:$A, 0)), "")</f>
        <v/>
      </c>
      <c r="E145" s="10" t="str">
        <f>IF(ISNUMBER(MATCH($A145, 대여현황!$A:$A, 0)), INDEX(대여현황!E:E, MATCH($A145, 대여현황!$A:$A, 0)), "")</f>
        <v/>
      </c>
      <c r="F145" s="22" t="str">
        <f>IF(ISNUMBER(MATCH($A145, 대여현황!$A:$A, 0)), INDEX(대여현황!F:F, MATCH($A145, 대여현황!$A:$A, 0)), "-")</f>
        <v>-</v>
      </c>
    </row>
    <row r="146" spans="1:6" ht="20" customHeight="1">
      <c r="A146" s="9"/>
      <c r="B146" s="3"/>
      <c r="C146" s="9" t="str">
        <f>IF(ISNUMBER(MATCH($A146, 대여현황!$A:$A, 0)), INDEX(대여현황!C:C, MATCH($A146, 대여현황!$A:$A, 0)), "")</f>
        <v/>
      </c>
      <c r="D146" s="9" t="str">
        <f>IF(ISNUMBER(MATCH($A146, 대여현황!$A:$A, 0)), INDEX(대여현황!D:D, MATCH($A146, 대여현황!$A:$A, 0)), "")</f>
        <v/>
      </c>
      <c r="E146" s="10" t="str">
        <f>IF(ISNUMBER(MATCH($A146, 대여현황!$A:$A, 0)), INDEX(대여현황!E:E, MATCH($A146, 대여현황!$A:$A, 0)), "")</f>
        <v/>
      </c>
      <c r="F146" s="22" t="str">
        <f>IF(ISNUMBER(MATCH($A146, 대여현황!$A:$A, 0)), INDEX(대여현황!F:F, MATCH($A146, 대여현황!$A:$A, 0)), "-")</f>
        <v>-</v>
      </c>
    </row>
    <row r="147" spans="1:6" ht="20" customHeight="1">
      <c r="A147" s="9"/>
      <c r="B147" s="3"/>
      <c r="C147" s="9" t="str">
        <f>IF(ISNUMBER(MATCH($A147, 대여현황!$A:$A, 0)), INDEX(대여현황!C:C, MATCH($A147, 대여현황!$A:$A, 0)), "")</f>
        <v/>
      </c>
      <c r="D147" s="9" t="str">
        <f>IF(ISNUMBER(MATCH($A147, 대여현황!$A:$A, 0)), INDEX(대여현황!D:D, MATCH($A147, 대여현황!$A:$A, 0)), "")</f>
        <v/>
      </c>
      <c r="E147" s="10" t="str">
        <f>IF(ISNUMBER(MATCH($A147, 대여현황!$A:$A, 0)), INDEX(대여현황!E:E, MATCH($A147, 대여현황!$A:$A, 0)), "")</f>
        <v/>
      </c>
      <c r="F147" s="22" t="str">
        <f>IF(ISNUMBER(MATCH($A147, 대여현황!$A:$A, 0)), INDEX(대여현황!F:F, MATCH($A147, 대여현황!$A:$A, 0)), "-")</f>
        <v>-</v>
      </c>
    </row>
    <row r="148" spans="1:6" ht="20" customHeight="1">
      <c r="A148" s="9"/>
      <c r="B148" s="3"/>
      <c r="C148" s="9" t="str">
        <f>IF(ISNUMBER(MATCH($A148, 대여현황!$A:$A, 0)), INDEX(대여현황!C:C, MATCH($A148, 대여현황!$A:$A, 0)), "")</f>
        <v/>
      </c>
      <c r="D148" s="9" t="str">
        <f>IF(ISNUMBER(MATCH($A148, 대여현황!$A:$A, 0)), INDEX(대여현황!D:D, MATCH($A148, 대여현황!$A:$A, 0)), "")</f>
        <v/>
      </c>
      <c r="E148" s="10" t="str">
        <f>IF(ISNUMBER(MATCH($A148, 대여현황!$A:$A, 0)), INDEX(대여현황!E:E, MATCH($A148, 대여현황!$A:$A, 0)), "")</f>
        <v/>
      </c>
      <c r="F148" s="22" t="str">
        <f>IF(ISNUMBER(MATCH($A148, 대여현황!$A:$A, 0)), INDEX(대여현황!F:F, MATCH($A148, 대여현황!$A:$A, 0)), "-")</f>
        <v>-</v>
      </c>
    </row>
    <row r="149" spans="1:6" ht="20" customHeight="1">
      <c r="A149" s="9"/>
      <c r="B149" s="3"/>
      <c r="C149" s="9" t="str">
        <f>IF(ISNUMBER(MATCH($A149, 대여현황!$A:$A, 0)), INDEX(대여현황!C:C, MATCH($A149, 대여현황!$A:$A, 0)), "")</f>
        <v/>
      </c>
      <c r="D149" s="9" t="str">
        <f>IF(ISNUMBER(MATCH($A149, 대여현황!$A:$A, 0)), INDEX(대여현황!D:D, MATCH($A149, 대여현황!$A:$A, 0)), "")</f>
        <v/>
      </c>
      <c r="E149" s="10" t="str">
        <f>IF(ISNUMBER(MATCH($A149, 대여현황!$A:$A, 0)), INDEX(대여현황!E:E, MATCH($A149, 대여현황!$A:$A, 0)), "")</f>
        <v/>
      </c>
      <c r="F149" s="22" t="str">
        <f>IF(ISNUMBER(MATCH($A149, 대여현황!$A:$A, 0)), INDEX(대여현황!F:F, MATCH($A149, 대여현황!$A:$A, 0)), "-")</f>
        <v>-</v>
      </c>
    </row>
    <row r="150" spans="1:6" ht="20" customHeight="1">
      <c r="A150" s="9"/>
      <c r="B150" s="3"/>
      <c r="C150" s="9" t="str">
        <f>IF(ISNUMBER(MATCH($A150, 대여현황!$A:$A, 0)), INDEX(대여현황!C:C, MATCH($A150, 대여현황!$A:$A, 0)), "")</f>
        <v/>
      </c>
      <c r="D150" s="9" t="str">
        <f>IF(ISNUMBER(MATCH($A150, 대여현황!$A:$A, 0)), INDEX(대여현황!D:D, MATCH($A150, 대여현황!$A:$A, 0)), "")</f>
        <v/>
      </c>
      <c r="E150" s="10" t="str">
        <f>IF(ISNUMBER(MATCH($A150, 대여현황!$A:$A, 0)), INDEX(대여현황!E:E, MATCH($A150, 대여현황!$A:$A, 0)), "")</f>
        <v/>
      </c>
      <c r="F150" s="22" t="str">
        <f>IF(ISNUMBER(MATCH($A150, 대여현황!$A:$A, 0)), INDEX(대여현황!F:F, MATCH($A150, 대여현황!$A:$A, 0)), "-")</f>
        <v>-</v>
      </c>
    </row>
    <row r="151" spans="1:6" ht="20" customHeight="1">
      <c r="A151" s="9"/>
      <c r="B151" s="3"/>
      <c r="C151" s="9" t="str">
        <f>IF(ISNUMBER(MATCH($A151, 대여현황!$A:$A, 0)), INDEX(대여현황!C:C, MATCH($A151, 대여현황!$A:$A, 0)), "")</f>
        <v/>
      </c>
      <c r="D151" s="9" t="str">
        <f>IF(ISNUMBER(MATCH($A151, 대여현황!$A:$A, 0)), INDEX(대여현황!D:D, MATCH($A151, 대여현황!$A:$A, 0)), "")</f>
        <v/>
      </c>
      <c r="E151" s="10" t="str">
        <f>IF(ISNUMBER(MATCH($A151, 대여현황!$A:$A, 0)), INDEX(대여현황!E:E, MATCH($A151, 대여현황!$A:$A, 0)), "")</f>
        <v/>
      </c>
      <c r="F151" s="22" t="str">
        <f>IF(ISNUMBER(MATCH($A151, 대여현황!$A:$A, 0)), INDEX(대여현황!F:F, MATCH($A151, 대여현황!$A:$A, 0)), "-")</f>
        <v>-</v>
      </c>
    </row>
    <row r="152" spans="1:6" ht="20" customHeight="1">
      <c r="A152" s="9"/>
      <c r="B152" s="3"/>
      <c r="C152" s="9" t="str">
        <f>IF(ISNUMBER(MATCH($A152, 대여현황!$A:$A, 0)), INDEX(대여현황!C:C, MATCH($A152, 대여현황!$A:$A, 0)), "")</f>
        <v/>
      </c>
      <c r="D152" s="9" t="str">
        <f>IF(ISNUMBER(MATCH($A152, 대여현황!$A:$A, 0)), INDEX(대여현황!D:D, MATCH($A152, 대여현황!$A:$A, 0)), "")</f>
        <v/>
      </c>
      <c r="E152" s="10" t="str">
        <f>IF(ISNUMBER(MATCH($A152, 대여현황!$A:$A, 0)), INDEX(대여현황!E:E, MATCH($A152, 대여현황!$A:$A, 0)), "")</f>
        <v/>
      </c>
      <c r="F152" s="22" t="str">
        <f>IF(ISNUMBER(MATCH($A152, 대여현황!$A:$A, 0)), INDEX(대여현황!F:F, MATCH($A152, 대여현황!$A:$A, 0)), "-")</f>
        <v>-</v>
      </c>
    </row>
    <row r="153" spans="1:6" ht="20" customHeight="1">
      <c r="A153" s="9"/>
      <c r="B153" s="3"/>
      <c r="C153" s="9" t="str">
        <f>IF(ISNUMBER(MATCH($A153, 대여현황!$A:$A, 0)), INDEX(대여현황!C:C, MATCH($A153, 대여현황!$A:$A, 0)), "")</f>
        <v/>
      </c>
      <c r="D153" s="9" t="str">
        <f>IF(ISNUMBER(MATCH($A153, 대여현황!$A:$A, 0)), INDEX(대여현황!D:D, MATCH($A153, 대여현황!$A:$A, 0)), "")</f>
        <v/>
      </c>
      <c r="E153" s="10" t="str">
        <f>IF(ISNUMBER(MATCH($A153, 대여현황!$A:$A, 0)), INDEX(대여현황!E:E, MATCH($A153, 대여현황!$A:$A, 0)), "")</f>
        <v/>
      </c>
      <c r="F153" s="22" t="str">
        <f>IF(ISNUMBER(MATCH($A153, 대여현황!$A:$A, 0)), INDEX(대여현황!F:F, MATCH($A153, 대여현황!$A:$A, 0)), "-")</f>
        <v>-</v>
      </c>
    </row>
    <row r="154" spans="1:6" ht="20" customHeight="1">
      <c r="A154" s="9"/>
      <c r="B154" s="3"/>
      <c r="C154" s="9" t="str">
        <f>IF(ISNUMBER(MATCH($A154, 대여현황!$A:$A, 0)), INDEX(대여현황!C:C, MATCH($A154, 대여현황!$A:$A, 0)), "")</f>
        <v/>
      </c>
      <c r="D154" s="9" t="str">
        <f>IF(ISNUMBER(MATCH($A154, 대여현황!$A:$A, 0)), INDEX(대여현황!D:D, MATCH($A154, 대여현황!$A:$A, 0)), "")</f>
        <v/>
      </c>
      <c r="E154" s="10" t="str">
        <f>IF(ISNUMBER(MATCH($A154, 대여현황!$A:$A, 0)), INDEX(대여현황!E:E, MATCH($A154, 대여현황!$A:$A, 0)), "")</f>
        <v/>
      </c>
      <c r="F154" s="22" t="str">
        <f>IF(ISNUMBER(MATCH($A154, 대여현황!$A:$A, 0)), INDEX(대여현황!F:F, MATCH($A154, 대여현황!$A:$A, 0)), "-")</f>
        <v>-</v>
      </c>
    </row>
    <row r="155" spans="1:6" ht="20" customHeight="1">
      <c r="A155" s="9"/>
      <c r="B155" s="3"/>
      <c r="C155" s="9" t="str">
        <f>IF(ISNUMBER(MATCH($A155, 대여현황!$A:$A, 0)), INDEX(대여현황!C:C, MATCH($A155, 대여현황!$A:$A, 0)), "")</f>
        <v/>
      </c>
      <c r="D155" s="9" t="str">
        <f>IF(ISNUMBER(MATCH($A155, 대여현황!$A:$A, 0)), INDEX(대여현황!D:D, MATCH($A155, 대여현황!$A:$A, 0)), "")</f>
        <v/>
      </c>
      <c r="E155" s="10" t="str">
        <f>IF(ISNUMBER(MATCH($A155, 대여현황!$A:$A, 0)), INDEX(대여현황!E:E, MATCH($A155, 대여현황!$A:$A, 0)), "")</f>
        <v/>
      </c>
      <c r="F155" s="22" t="str">
        <f>IF(ISNUMBER(MATCH($A155, 대여현황!$A:$A, 0)), INDEX(대여현황!F:F, MATCH($A155, 대여현황!$A:$A, 0)), "-")</f>
        <v>-</v>
      </c>
    </row>
    <row r="156" spans="1:6" ht="20" customHeight="1">
      <c r="A156" s="9"/>
      <c r="B156" s="3"/>
      <c r="C156" s="9" t="str">
        <f>IF(ISNUMBER(MATCH($A156, 대여현황!$A:$A, 0)), INDEX(대여현황!C:C, MATCH($A156, 대여현황!$A:$A, 0)), "")</f>
        <v/>
      </c>
      <c r="D156" s="9" t="str">
        <f>IF(ISNUMBER(MATCH($A156, 대여현황!$A:$A, 0)), INDEX(대여현황!D:D, MATCH($A156, 대여현황!$A:$A, 0)), "")</f>
        <v/>
      </c>
      <c r="E156" s="10" t="str">
        <f>IF(ISNUMBER(MATCH($A156, 대여현황!$A:$A, 0)), INDEX(대여현황!E:E, MATCH($A156, 대여현황!$A:$A, 0)), "")</f>
        <v/>
      </c>
      <c r="F156" s="22" t="str">
        <f>IF(ISNUMBER(MATCH($A156, 대여현황!$A:$A, 0)), INDEX(대여현황!F:F, MATCH($A156, 대여현황!$A:$A, 0)), "-")</f>
        <v>-</v>
      </c>
    </row>
    <row r="157" spans="1:6" ht="20" customHeight="1">
      <c r="A157" s="9"/>
      <c r="B157" s="3"/>
      <c r="C157" s="9" t="str">
        <f>IF(ISNUMBER(MATCH($A157, 대여현황!$A:$A, 0)), INDEX(대여현황!C:C, MATCH($A157, 대여현황!$A:$A, 0)), "")</f>
        <v/>
      </c>
      <c r="D157" s="9" t="str">
        <f>IF(ISNUMBER(MATCH($A157, 대여현황!$A:$A, 0)), INDEX(대여현황!D:D, MATCH($A157, 대여현황!$A:$A, 0)), "")</f>
        <v/>
      </c>
      <c r="E157" s="10" t="str">
        <f>IF(ISNUMBER(MATCH($A157, 대여현황!$A:$A, 0)), INDEX(대여현황!E:E, MATCH($A157, 대여현황!$A:$A, 0)), "")</f>
        <v/>
      </c>
      <c r="F157" s="22" t="str">
        <f>IF(ISNUMBER(MATCH($A157, 대여현황!$A:$A, 0)), INDEX(대여현황!F:F, MATCH($A157, 대여현황!$A:$A, 0)), "-")</f>
        <v>-</v>
      </c>
    </row>
    <row r="158" spans="1:6" ht="20" customHeight="1">
      <c r="A158" s="9"/>
      <c r="B158" s="3"/>
      <c r="C158" s="9" t="str">
        <f>IF(ISNUMBER(MATCH($A158, 대여현황!$A:$A, 0)), INDEX(대여현황!C:C, MATCH($A158, 대여현황!$A:$A, 0)), "")</f>
        <v/>
      </c>
      <c r="D158" s="9" t="str">
        <f>IF(ISNUMBER(MATCH($A158, 대여현황!$A:$A, 0)), INDEX(대여현황!D:D, MATCH($A158, 대여현황!$A:$A, 0)), "")</f>
        <v/>
      </c>
      <c r="E158" s="10" t="str">
        <f>IF(ISNUMBER(MATCH($A158, 대여현황!$A:$A, 0)), INDEX(대여현황!E:E, MATCH($A158, 대여현황!$A:$A, 0)), "")</f>
        <v/>
      </c>
      <c r="F158" s="22" t="str">
        <f>IF(ISNUMBER(MATCH($A158, 대여현황!$A:$A, 0)), INDEX(대여현황!F:F, MATCH($A158, 대여현황!$A:$A, 0)), "-")</f>
        <v>-</v>
      </c>
    </row>
    <row r="159" spans="1:6" ht="20" customHeight="1">
      <c r="A159" s="9"/>
      <c r="B159" s="3"/>
      <c r="C159" s="9" t="str">
        <f>IF(ISNUMBER(MATCH($A159, 대여현황!$A:$A, 0)), INDEX(대여현황!C:C, MATCH($A159, 대여현황!$A:$A, 0)), "")</f>
        <v/>
      </c>
      <c r="D159" s="9" t="str">
        <f>IF(ISNUMBER(MATCH($A159, 대여현황!$A:$A, 0)), INDEX(대여현황!D:D, MATCH($A159, 대여현황!$A:$A, 0)), "")</f>
        <v/>
      </c>
      <c r="E159" s="10" t="str">
        <f>IF(ISNUMBER(MATCH($A159, 대여현황!$A:$A, 0)), INDEX(대여현황!E:E, MATCH($A159, 대여현황!$A:$A, 0)), "")</f>
        <v/>
      </c>
      <c r="F159" s="22" t="str">
        <f>IF(ISNUMBER(MATCH($A159, 대여현황!$A:$A, 0)), INDEX(대여현황!F:F, MATCH($A159, 대여현황!$A:$A, 0)), "-")</f>
        <v>-</v>
      </c>
    </row>
    <row r="160" spans="1:6" ht="20" customHeight="1">
      <c r="A160" s="9"/>
      <c r="B160" s="3"/>
      <c r="C160" s="9" t="str">
        <f>IF(ISNUMBER(MATCH($A160, 대여현황!$A:$A, 0)), INDEX(대여현황!C:C, MATCH($A160, 대여현황!$A:$A, 0)), "")</f>
        <v/>
      </c>
      <c r="D160" s="9" t="str">
        <f>IF(ISNUMBER(MATCH($A160, 대여현황!$A:$A, 0)), INDEX(대여현황!D:D, MATCH($A160, 대여현황!$A:$A, 0)), "")</f>
        <v/>
      </c>
      <c r="E160" s="10" t="str">
        <f>IF(ISNUMBER(MATCH($A160, 대여현황!$A:$A, 0)), INDEX(대여현황!E:E, MATCH($A160, 대여현황!$A:$A, 0)), "")</f>
        <v/>
      </c>
      <c r="F160" s="22" t="str">
        <f>IF(ISNUMBER(MATCH($A160, 대여현황!$A:$A, 0)), INDEX(대여현황!F:F, MATCH($A160, 대여현황!$A:$A, 0)), "-")</f>
        <v>-</v>
      </c>
    </row>
    <row r="161" spans="1:6" ht="20" customHeight="1">
      <c r="A161" s="9"/>
      <c r="B161" s="3"/>
      <c r="C161" s="9" t="str">
        <f>IF(ISNUMBER(MATCH($A161, 대여현황!$A:$A, 0)), INDEX(대여현황!C:C, MATCH($A161, 대여현황!$A:$A, 0)), "")</f>
        <v/>
      </c>
      <c r="D161" s="9" t="str">
        <f>IF(ISNUMBER(MATCH($A161, 대여현황!$A:$A, 0)), INDEX(대여현황!D:D, MATCH($A161, 대여현황!$A:$A, 0)), "")</f>
        <v/>
      </c>
      <c r="E161" s="10" t="str">
        <f>IF(ISNUMBER(MATCH($A161, 대여현황!$A:$A, 0)), INDEX(대여현황!E:E, MATCH($A161, 대여현황!$A:$A, 0)), "")</f>
        <v/>
      </c>
      <c r="F161" s="22" t="str">
        <f>IF(ISNUMBER(MATCH($A161, 대여현황!$A:$A, 0)), INDEX(대여현황!F:F, MATCH($A161, 대여현황!$A:$A, 0)), "-")</f>
        <v>-</v>
      </c>
    </row>
    <row r="162" spans="1:6" ht="20" customHeight="1">
      <c r="A162" s="9"/>
      <c r="B162" s="3"/>
      <c r="C162" s="9" t="str">
        <f>IF(ISNUMBER(MATCH($A162, 대여현황!$A:$A, 0)), INDEX(대여현황!C:C, MATCH($A162, 대여현황!$A:$A, 0)), "")</f>
        <v/>
      </c>
      <c r="D162" s="9" t="str">
        <f>IF(ISNUMBER(MATCH($A162, 대여현황!$A:$A, 0)), INDEX(대여현황!D:D, MATCH($A162, 대여현황!$A:$A, 0)), "")</f>
        <v/>
      </c>
      <c r="E162" s="10" t="str">
        <f>IF(ISNUMBER(MATCH($A162, 대여현황!$A:$A, 0)), INDEX(대여현황!E:E, MATCH($A162, 대여현황!$A:$A, 0)), "")</f>
        <v/>
      </c>
      <c r="F162" s="22" t="str">
        <f>IF(ISNUMBER(MATCH($A162, 대여현황!$A:$A, 0)), INDEX(대여현황!F:F, MATCH($A162, 대여현황!$A:$A, 0)), "-")</f>
        <v>-</v>
      </c>
    </row>
    <row r="163" spans="1:6" ht="20" customHeight="1">
      <c r="A163" s="9"/>
      <c r="B163" s="3"/>
      <c r="C163" s="9" t="str">
        <f>IF(ISNUMBER(MATCH($A163, 대여현황!$A:$A, 0)), INDEX(대여현황!C:C, MATCH($A163, 대여현황!$A:$A, 0)), "")</f>
        <v/>
      </c>
      <c r="D163" s="9" t="str">
        <f>IF(ISNUMBER(MATCH($A163, 대여현황!$A:$A, 0)), INDEX(대여현황!D:D, MATCH($A163, 대여현황!$A:$A, 0)), "")</f>
        <v/>
      </c>
      <c r="E163" s="10" t="str">
        <f>IF(ISNUMBER(MATCH($A163, 대여현황!$A:$A, 0)), INDEX(대여현황!E:E, MATCH($A163, 대여현황!$A:$A, 0)), "")</f>
        <v/>
      </c>
      <c r="F163" s="22" t="str">
        <f>IF(ISNUMBER(MATCH($A163, 대여현황!$A:$A, 0)), INDEX(대여현황!F:F, MATCH($A163, 대여현황!$A:$A, 0)), "-")</f>
        <v>-</v>
      </c>
    </row>
    <row r="164" spans="1:6" ht="20" customHeight="1">
      <c r="A164" s="9"/>
      <c r="B164" s="3"/>
      <c r="C164" s="9" t="str">
        <f>IF(ISNUMBER(MATCH($A164, 대여현황!$A:$A, 0)), INDEX(대여현황!C:C, MATCH($A164, 대여현황!$A:$A, 0)), "")</f>
        <v/>
      </c>
      <c r="D164" s="9" t="str">
        <f>IF(ISNUMBER(MATCH($A164, 대여현황!$A:$A, 0)), INDEX(대여현황!D:D, MATCH($A164, 대여현황!$A:$A, 0)), "")</f>
        <v/>
      </c>
      <c r="E164" s="10" t="str">
        <f>IF(ISNUMBER(MATCH($A164, 대여현황!$A:$A, 0)), INDEX(대여현황!E:E, MATCH($A164, 대여현황!$A:$A, 0)), "")</f>
        <v/>
      </c>
      <c r="F164" s="22" t="str">
        <f>IF(ISNUMBER(MATCH($A164, 대여현황!$A:$A, 0)), INDEX(대여현황!F:F, MATCH($A164, 대여현황!$A:$A, 0)), "-")</f>
        <v>-</v>
      </c>
    </row>
    <row r="165" spans="1:6" ht="20" customHeight="1">
      <c r="A165" s="9"/>
      <c r="B165" s="3"/>
      <c r="C165" s="9" t="str">
        <f>IF(ISNUMBER(MATCH($A165, 대여현황!$A:$A, 0)), INDEX(대여현황!C:C, MATCH($A165, 대여현황!$A:$A, 0)), "")</f>
        <v/>
      </c>
      <c r="D165" s="9" t="str">
        <f>IF(ISNUMBER(MATCH($A165, 대여현황!$A:$A, 0)), INDEX(대여현황!D:D, MATCH($A165, 대여현황!$A:$A, 0)), "")</f>
        <v/>
      </c>
      <c r="E165" s="10" t="str">
        <f>IF(ISNUMBER(MATCH($A165, 대여현황!$A:$A, 0)), INDEX(대여현황!E:E, MATCH($A165, 대여현황!$A:$A, 0)), "")</f>
        <v/>
      </c>
      <c r="F165" s="22" t="str">
        <f>IF(ISNUMBER(MATCH($A165, 대여현황!$A:$A, 0)), INDEX(대여현황!F:F, MATCH($A165, 대여현황!$A:$A, 0)), "-")</f>
        <v>-</v>
      </c>
    </row>
    <row r="166" spans="1:6" ht="20" customHeight="1">
      <c r="A166" s="9"/>
      <c r="B166" s="3"/>
      <c r="C166" s="9" t="str">
        <f>IF(ISNUMBER(MATCH($A166, 대여현황!$A:$A, 0)), INDEX(대여현황!C:C, MATCH($A166, 대여현황!$A:$A, 0)), "")</f>
        <v/>
      </c>
      <c r="D166" s="9" t="str">
        <f>IF(ISNUMBER(MATCH($A166, 대여현황!$A:$A, 0)), INDEX(대여현황!D:D, MATCH($A166, 대여현황!$A:$A, 0)), "")</f>
        <v/>
      </c>
      <c r="E166" s="10" t="str">
        <f>IF(ISNUMBER(MATCH($A166, 대여현황!$A:$A, 0)), INDEX(대여현황!E:E, MATCH($A166, 대여현황!$A:$A, 0)), "")</f>
        <v/>
      </c>
      <c r="F166" s="22" t="str">
        <f>IF(ISNUMBER(MATCH($A166, 대여현황!$A:$A, 0)), INDEX(대여현황!F:F, MATCH($A166, 대여현황!$A:$A, 0)), "-")</f>
        <v>-</v>
      </c>
    </row>
    <row r="167" spans="1:6" ht="20" customHeight="1">
      <c r="A167" s="9"/>
      <c r="B167" s="3"/>
      <c r="C167" s="9" t="str">
        <f>IF(ISNUMBER(MATCH($A167, 대여현황!$A:$A, 0)), INDEX(대여현황!C:C, MATCH($A167, 대여현황!$A:$A, 0)), "")</f>
        <v/>
      </c>
      <c r="D167" s="9" t="str">
        <f>IF(ISNUMBER(MATCH($A167, 대여현황!$A:$A, 0)), INDEX(대여현황!D:D, MATCH($A167, 대여현황!$A:$A, 0)), "")</f>
        <v/>
      </c>
      <c r="E167" s="10" t="str">
        <f>IF(ISNUMBER(MATCH($A167, 대여현황!$A:$A, 0)), INDEX(대여현황!E:E, MATCH($A167, 대여현황!$A:$A, 0)), "")</f>
        <v/>
      </c>
      <c r="F167" s="22" t="str">
        <f>IF(ISNUMBER(MATCH($A167, 대여현황!$A:$A, 0)), INDEX(대여현황!F:F, MATCH($A167, 대여현황!$A:$A, 0)), "-")</f>
        <v>-</v>
      </c>
    </row>
    <row r="168" spans="1:6" ht="20" customHeight="1">
      <c r="A168" s="9"/>
      <c r="B168" s="3"/>
      <c r="C168" s="9" t="str">
        <f>IF(ISNUMBER(MATCH($A168, 대여현황!$A:$A, 0)), INDEX(대여현황!C:C, MATCH($A168, 대여현황!$A:$A, 0)), "")</f>
        <v/>
      </c>
      <c r="D168" s="9" t="str">
        <f>IF(ISNUMBER(MATCH($A168, 대여현황!$A:$A, 0)), INDEX(대여현황!D:D, MATCH($A168, 대여현황!$A:$A, 0)), "")</f>
        <v/>
      </c>
      <c r="E168" s="10" t="str">
        <f>IF(ISNUMBER(MATCH($A168, 대여현황!$A:$A, 0)), INDEX(대여현황!E:E, MATCH($A168, 대여현황!$A:$A, 0)), "")</f>
        <v/>
      </c>
      <c r="F168" s="22" t="str">
        <f>IF(ISNUMBER(MATCH($A168, 대여현황!$A:$A, 0)), INDEX(대여현황!F:F, MATCH($A168, 대여현황!$A:$A, 0)), "-")</f>
        <v>-</v>
      </c>
    </row>
    <row r="169" spans="1:6" ht="20" customHeight="1">
      <c r="A169" s="9"/>
      <c r="B169" s="3"/>
      <c r="C169" s="9" t="str">
        <f>IF(ISNUMBER(MATCH($A169, 대여현황!$A:$A, 0)), INDEX(대여현황!C:C, MATCH($A169, 대여현황!$A:$A, 0)), "")</f>
        <v/>
      </c>
      <c r="D169" s="9" t="str">
        <f>IF(ISNUMBER(MATCH($A169, 대여현황!$A:$A, 0)), INDEX(대여현황!D:D, MATCH($A169, 대여현황!$A:$A, 0)), "")</f>
        <v/>
      </c>
      <c r="E169" s="10" t="str">
        <f>IF(ISNUMBER(MATCH($A169, 대여현황!$A:$A, 0)), INDEX(대여현황!E:E, MATCH($A169, 대여현황!$A:$A, 0)), "")</f>
        <v/>
      </c>
      <c r="F169" s="22" t="str">
        <f>IF(ISNUMBER(MATCH($A169, 대여현황!$A:$A, 0)), INDEX(대여현황!F:F, MATCH($A169, 대여현황!$A:$A, 0)), "-")</f>
        <v>-</v>
      </c>
    </row>
    <row r="170" spans="1:6" ht="20" customHeight="1">
      <c r="A170" s="9"/>
      <c r="B170" s="3"/>
      <c r="C170" s="9" t="str">
        <f>IF(ISNUMBER(MATCH($A170, 대여현황!$A:$A, 0)), INDEX(대여현황!C:C, MATCH($A170, 대여현황!$A:$A, 0)), "")</f>
        <v/>
      </c>
      <c r="D170" s="9" t="str">
        <f>IF(ISNUMBER(MATCH($A170, 대여현황!$A:$A, 0)), INDEX(대여현황!D:D, MATCH($A170, 대여현황!$A:$A, 0)), "")</f>
        <v/>
      </c>
      <c r="E170" s="10" t="str">
        <f>IF(ISNUMBER(MATCH($A170, 대여현황!$A:$A, 0)), INDEX(대여현황!E:E, MATCH($A170, 대여현황!$A:$A, 0)), "")</f>
        <v/>
      </c>
      <c r="F170" s="22" t="str">
        <f>IF(ISNUMBER(MATCH($A170, 대여현황!$A:$A, 0)), INDEX(대여현황!F:F, MATCH($A170, 대여현황!$A:$A, 0)), "-")</f>
        <v>-</v>
      </c>
    </row>
    <row r="171" spans="1:6" ht="20" customHeight="1">
      <c r="A171" s="9"/>
      <c r="B171" s="3"/>
      <c r="C171" s="9" t="str">
        <f>IF(ISNUMBER(MATCH($A171, 대여현황!$A:$A, 0)), INDEX(대여현황!C:C, MATCH($A171, 대여현황!$A:$A, 0)), "")</f>
        <v/>
      </c>
      <c r="D171" s="9" t="str">
        <f>IF(ISNUMBER(MATCH($A171, 대여현황!$A:$A, 0)), INDEX(대여현황!D:D, MATCH($A171, 대여현황!$A:$A, 0)), "")</f>
        <v/>
      </c>
      <c r="E171" s="10" t="str">
        <f>IF(ISNUMBER(MATCH($A171, 대여현황!$A:$A, 0)), INDEX(대여현황!E:E, MATCH($A171, 대여현황!$A:$A, 0)), "")</f>
        <v/>
      </c>
      <c r="F171" s="22" t="str">
        <f>IF(ISNUMBER(MATCH($A171, 대여현황!$A:$A, 0)), INDEX(대여현황!F:F, MATCH($A171, 대여현황!$A:$A, 0)), "-")</f>
        <v>-</v>
      </c>
    </row>
    <row r="172" spans="1:6" ht="20" customHeight="1">
      <c r="A172" s="9"/>
      <c r="B172" s="3"/>
      <c r="C172" s="9" t="str">
        <f>IF(ISNUMBER(MATCH($A172, 대여현황!$A:$A, 0)), INDEX(대여현황!C:C, MATCH($A172, 대여현황!$A:$A, 0)), "")</f>
        <v/>
      </c>
      <c r="D172" s="9" t="str">
        <f>IF(ISNUMBER(MATCH($A172, 대여현황!$A:$A, 0)), INDEX(대여현황!D:D, MATCH($A172, 대여현황!$A:$A, 0)), "")</f>
        <v/>
      </c>
      <c r="E172" s="10" t="str">
        <f>IF(ISNUMBER(MATCH($A172, 대여현황!$A:$A, 0)), INDEX(대여현황!E:E, MATCH($A172, 대여현황!$A:$A, 0)), "")</f>
        <v/>
      </c>
      <c r="F172" s="22" t="str">
        <f>IF(ISNUMBER(MATCH($A172, 대여현황!$A:$A, 0)), INDEX(대여현황!F:F, MATCH($A172, 대여현황!$A:$A, 0)), "-")</f>
        <v>-</v>
      </c>
    </row>
    <row r="173" spans="1:6" ht="20" customHeight="1">
      <c r="A173" s="9"/>
      <c r="B173" s="3"/>
      <c r="C173" s="9" t="str">
        <f>IF(ISNUMBER(MATCH($A173, 대여현황!$A:$A, 0)), INDEX(대여현황!C:C, MATCH($A173, 대여현황!$A:$A, 0)), "")</f>
        <v/>
      </c>
      <c r="D173" s="9" t="str">
        <f>IF(ISNUMBER(MATCH($A173, 대여현황!$A:$A, 0)), INDEX(대여현황!D:D, MATCH($A173, 대여현황!$A:$A, 0)), "")</f>
        <v/>
      </c>
      <c r="E173" s="10" t="str">
        <f>IF(ISNUMBER(MATCH($A173, 대여현황!$A:$A, 0)), INDEX(대여현황!E:E, MATCH($A173, 대여현황!$A:$A, 0)), "")</f>
        <v/>
      </c>
      <c r="F173" s="22" t="str">
        <f>IF(ISNUMBER(MATCH($A173, 대여현황!$A:$A, 0)), INDEX(대여현황!F:F, MATCH($A173, 대여현황!$A:$A, 0)), "-")</f>
        <v>-</v>
      </c>
    </row>
    <row r="174" spans="1:6" ht="20" customHeight="1">
      <c r="A174" s="9"/>
      <c r="B174" s="3"/>
      <c r="C174" s="9" t="str">
        <f>IF(ISNUMBER(MATCH($A174, 대여현황!$A:$A, 0)), INDEX(대여현황!C:C, MATCH($A174, 대여현황!$A:$A, 0)), "")</f>
        <v/>
      </c>
      <c r="D174" s="9" t="str">
        <f>IF(ISNUMBER(MATCH($A174, 대여현황!$A:$A, 0)), INDEX(대여현황!D:D, MATCH($A174, 대여현황!$A:$A, 0)), "")</f>
        <v/>
      </c>
      <c r="E174" s="10" t="str">
        <f>IF(ISNUMBER(MATCH($A174, 대여현황!$A:$A, 0)), INDEX(대여현황!E:E, MATCH($A174, 대여현황!$A:$A, 0)), "")</f>
        <v/>
      </c>
      <c r="F174" s="22" t="str">
        <f>IF(ISNUMBER(MATCH($A174, 대여현황!$A:$A, 0)), INDEX(대여현황!F:F, MATCH($A174, 대여현황!$A:$A, 0)), "-")</f>
        <v>-</v>
      </c>
    </row>
    <row r="175" spans="1:6" ht="20" customHeight="1">
      <c r="A175" s="9"/>
      <c r="B175" s="3"/>
      <c r="C175" s="9" t="str">
        <f>IF(ISNUMBER(MATCH($A175, 대여현황!$A:$A, 0)), INDEX(대여현황!C:C, MATCH($A175, 대여현황!$A:$A, 0)), "")</f>
        <v/>
      </c>
      <c r="D175" s="9" t="str">
        <f>IF(ISNUMBER(MATCH($A175, 대여현황!$A:$A, 0)), INDEX(대여현황!D:D, MATCH($A175, 대여현황!$A:$A, 0)), "")</f>
        <v/>
      </c>
      <c r="E175" s="10" t="str">
        <f>IF(ISNUMBER(MATCH($A175, 대여현황!$A:$A, 0)), INDEX(대여현황!E:E, MATCH($A175, 대여현황!$A:$A, 0)), "")</f>
        <v/>
      </c>
      <c r="F175" s="22" t="str">
        <f>IF(ISNUMBER(MATCH($A175, 대여현황!$A:$A, 0)), INDEX(대여현황!F:F, MATCH($A175, 대여현황!$A:$A, 0)), "-")</f>
        <v>-</v>
      </c>
    </row>
    <row r="176" spans="1:6" ht="20" customHeight="1">
      <c r="A176" s="9"/>
      <c r="B176" s="3"/>
      <c r="C176" s="9" t="str">
        <f>IF(ISNUMBER(MATCH($A176, 대여현황!$A:$A, 0)), INDEX(대여현황!C:C, MATCH($A176, 대여현황!$A:$A, 0)), "")</f>
        <v/>
      </c>
      <c r="D176" s="9" t="str">
        <f>IF(ISNUMBER(MATCH($A176, 대여현황!$A:$A, 0)), INDEX(대여현황!D:D, MATCH($A176, 대여현황!$A:$A, 0)), "")</f>
        <v/>
      </c>
      <c r="E176" s="10" t="str">
        <f>IF(ISNUMBER(MATCH($A176, 대여현황!$A:$A, 0)), INDEX(대여현황!E:E, MATCH($A176, 대여현황!$A:$A, 0)), "")</f>
        <v/>
      </c>
      <c r="F176" s="22" t="str">
        <f>IF(ISNUMBER(MATCH($A176, 대여현황!$A:$A, 0)), INDEX(대여현황!F:F, MATCH($A176, 대여현황!$A:$A, 0)), "-")</f>
        <v>-</v>
      </c>
    </row>
    <row r="177" spans="1:6" ht="20" customHeight="1">
      <c r="A177" s="9"/>
      <c r="B177" s="3"/>
      <c r="C177" s="9" t="str">
        <f>IF(ISNUMBER(MATCH($A177, 대여현황!$A:$A, 0)), INDEX(대여현황!C:C, MATCH($A177, 대여현황!$A:$A, 0)), "")</f>
        <v/>
      </c>
      <c r="D177" s="9" t="str">
        <f>IF(ISNUMBER(MATCH($A177, 대여현황!$A:$A, 0)), INDEX(대여현황!D:D, MATCH($A177, 대여현황!$A:$A, 0)), "")</f>
        <v/>
      </c>
      <c r="E177" s="10" t="str">
        <f>IF(ISNUMBER(MATCH($A177, 대여현황!$A:$A, 0)), INDEX(대여현황!E:E, MATCH($A177, 대여현황!$A:$A, 0)), "")</f>
        <v/>
      </c>
      <c r="F177" s="22" t="str">
        <f>IF(ISNUMBER(MATCH($A177, 대여현황!$A:$A, 0)), INDEX(대여현황!F:F, MATCH($A177, 대여현황!$A:$A, 0)), "-")</f>
        <v>-</v>
      </c>
    </row>
    <row r="178" spans="1:6" ht="20" customHeight="1">
      <c r="A178" s="9"/>
      <c r="B178" s="3"/>
      <c r="C178" s="9" t="str">
        <f>IF(ISNUMBER(MATCH($A178, 대여현황!$A:$A, 0)), INDEX(대여현황!C:C, MATCH($A178, 대여현황!$A:$A, 0)), "")</f>
        <v/>
      </c>
      <c r="D178" s="9" t="str">
        <f>IF(ISNUMBER(MATCH($A178, 대여현황!$A:$A, 0)), INDEX(대여현황!D:D, MATCH($A178, 대여현황!$A:$A, 0)), "")</f>
        <v/>
      </c>
      <c r="E178" s="10" t="str">
        <f>IF(ISNUMBER(MATCH($A178, 대여현황!$A:$A, 0)), INDEX(대여현황!E:E, MATCH($A178, 대여현황!$A:$A, 0)), "")</f>
        <v/>
      </c>
      <c r="F178" s="22" t="str">
        <f>IF(ISNUMBER(MATCH($A178, 대여현황!$A:$A, 0)), INDEX(대여현황!F:F, MATCH($A178, 대여현황!$A:$A, 0)), "-")</f>
        <v>-</v>
      </c>
    </row>
    <row r="179" spans="1:6" ht="20" customHeight="1">
      <c r="A179" s="9"/>
      <c r="B179" s="3"/>
      <c r="C179" s="9" t="str">
        <f>IF(ISNUMBER(MATCH($A179, 대여현황!$A:$A, 0)), INDEX(대여현황!C:C, MATCH($A179, 대여현황!$A:$A, 0)), "")</f>
        <v/>
      </c>
      <c r="D179" s="9" t="str">
        <f>IF(ISNUMBER(MATCH($A179, 대여현황!$A:$A, 0)), INDEX(대여현황!D:D, MATCH($A179, 대여현황!$A:$A, 0)), "")</f>
        <v/>
      </c>
      <c r="E179" s="10" t="str">
        <f>IF(ISNUMBER(MATCH($A179, 대여현황!$A:$A, 0)), INDEX(대여현황!E:E, MATCH($A179, 대여현황!$A:$A, 0)), "")</f>
        <v/>
      </c>
      <c r="F179" s="22" t="str">
        <f>IF(ISNUMBER(MATCH($A179, 대여현황!$A:$A, 0)), INDEX(대여현황!F:F, MATCH($A179, 대여현황!$A:$A, 0)), "-")</f>
        <v>-</v>
      </c>
    </row>
    <row r="180" spans="1:6" ht="20" customHeight="1">
      <c r="A180" s="9"/>
      <c r="B180" s="3"/>
      <c r="C180" s="9" t="str">
        <f>IF(ISNUMBER(MATCH($A180, 대여현황!$A:$A, 0)), INDEX(대여현황!C:C, MATCH($A180, 대여현황!$A:$A, 0)), "")</f>
        <v/>
      </c>
      <c r="D180" s="9" t="str">
        <f>IF(ISNUMBER(MATCH($A180, 대여현황!$A:$A, 0)), INDEX(대여현황!D:D, MATCH($A180, 대여현황!$A:$A, 0)), "")</f>
        <v/>
      </c>
      <c r="E180" s="10" t="str">
        <f>IF(ISNUMBER(MATCH($A180, 대여현황!$A:$A, 0)), INDEX(대여현황!E:E, MATCH($A180, 대여현황!$A:$A, 0)), "")</f>
        <v/>
      </c>
      <c r="F180" s="22" t="str">
        <f>IF(ISNUMBER(MATCH($A180, 대여현황!$A:$A, 0)), INDEX(대여현황!F:F, MATCH($A180, 대여현황!$A:$A, 0)), "-")</f>
        <v>-</v>
      </c>
    </row>
    <row r="181" spans="1:6" ht="20" customHeight="1">
      <c r="A181" s="9"/>
      <c r="B181" s="3"/>
      <c r="C181" s="9" t="str">
        <f>IF(ISNUMBER(MATCH($A181, 대여현황!$A:$A, 0)), INDEX(대여현황!C:C, MATCH($A181, 대여현황!$A:$A, 0)), "")</f>
        <v/>
      </c>
      <c r="D181" s="9" t="str">
        <f>IF(ISNUMBER(MATCH($A181, 대여현황!$A:$A, 0)), INDEX(대여현황!D:D, MATCH($A181, 대여현황!$A:$A, 0)), "")</f>
        <v/>
      </c>
      <c r="E181" s="10" t="str">
        <f>IF(ISNUMBER(MATCH($A181, 대여현황!$A:$A, 0)), INDEX(대여현황!E:E, MATCH($A181, 대여현황!$A:$A, 0)), "")</f>
        <v/>
      </c>
      <c r="F181" s="22" t="str">
        <f>IF(ISNUMBER(MATCH($A181, 대여현황!$A:$A, 0)), INDEX(대여현황!F:F, MATCH($A181, 대여현황!$A:$A, 0)), "-")</f>
        <v>-</v>
      </c>
    </row>
    <row r="182" spans="1:6" ht="20" customHeight="1">
      <c r="A182" s="9"/>
      <c r="B182" s="3"/>
      <c r="C182" s="9" t="str">
        <f>IF(ISNUMBER(MATCH($A182, 대여현황!$A:$A, 0)), INDEX(대여현황!C:C, MATCH($A182, 대여현황!$A:$A, 0)), "")</f>
        <v/>
      </c>
      <c r="D182" s="9" t="str">
        <f>IF(ISNUMBER(MATCH($A182, 대여현황!$A:$A, 0)), INDEX(대여현황!D:D, MATCH($A182, 대여현황!$A:$A, 0)), "")</f>
        <v/>
      </c>
      <c r="E182" s="10" t="str">
        <f>IF(ISNUMBER(MATCH($A182, 대여현황!$A:$A, 0)), INDEX(대여현황!E:E, MATCH($A182, 대여현황!$A:$A, 0)), "")</f>
        <v/>
      </c>
      <c r="F182" s="22" t="str">
        <f>IF(ISNUMBER(MATCH($A182, 대여현황!$A:$A, 0)), INDEX(대여현황!F:F, MATCH($A182, 대여현황!$A:$A, 0)), "-")</f>
        <v>-</v>
      </c>
    </row>
    <row r="183" spans="1:6" ht="20" customHeight="1">
      <c r="A183" s="9"/>
      <c r="B183" s="3"/>
      <c r="C183" s="9" t="str">
        <f>IF(ISNUMBER(MATCH($A183, 대여현황!$A:$A, 0)), INDEX(대여현황!C:C, MATCH($A183, 대여현황!$A:$A, 0)), "")</f>
        <v/>
      </c>
      <c r="D183" s="9" t="str">
        <f>IF(ISNUMBER(MATCH($A183, 대여현황!$A:$A, 0)), INDEX(대여현황!D:D, MATCH($A183, 대여현황!$A:$A, 0)), "")</f>
        <v/>
      </c>
      <c r="E183" s="10" t="str">
        <f>IF(ISNUMBER(MATCH($A183, 대여현황!$A:$A, 0)), INDEX(대여현황!E:E, MATCH($A183, 대여현황!$A:$A, 0)), "")</f>
        <v/>
      </c>
      <c r="F183" s="22" t="str">
        <f>IF(ISNUMBER(MATCH($A183, 대여현황!$A:$A, 0)), INDEX(대여현황!F:F, MATCH($A183, 대여현황!$A:$A, 0)), "-")</f>
        <v>-</v>
      </c>
    </row>
    <row r="184" spans="1:6" ht="20" customHeight="1">
      <c r="A184" s="9"/>
      <c r="B184" s="3"/>
      <c r="C184" s="9" t="str">
        <f>IF(ISNUMBER(MATCH($A184, 대여현황!$A:$A, 0)), INDEX(대여현황!C:C, MATCH($A184, 대여현황!$A:$A, 0)), "")</f>
        <v/>
      </c>
      <c r="D184" s="9" t="str">
        <f>IF(ISNUMBER(MATCH($A184, 대여현황!$A:$A, 0)), INDEX(대여현황!D:D, MATCH($A184, 대여현황!$A:$A, 0)), "")</f>
        <v/>
      </c>
      <c r="E184" s="10" t="str">
        <f>IF(ISNUMBER(MATCH($A184, 대여현황!$A:$A, 0)), INDEX(대여현황!E:E, MATCH($A184, 대여현황!$A:$A, 0)), "")</f>
        <v/>
      </c>
      <c r="F184" s="22" t="str">
        <f>IF(ISNUMBER(MATCH($A184, 대여현황!$A:$A, 0)), INDEX(대여현황!F:F, MATCH($A184, 대여현황!$A:$A, 0)), "-")</f>
        <v>-</v>
      </c>
    </row>
    <row r="185" spans="1:6" ht="20" customHeight="1">
      <c r="A185" s="9"/>
      <c r="B185" s="3"/>
      <c r="C185" s="9" t="str">
        <f>IF(ISNUMBER(MATCH($A185, 대여현황!$A:$A, 0)), INDEX(대여현황!C:C, MATCH($A185, 대여현황!$A:$A, 0)), "")</f>
        <v/>
      </c>
      <c r="D185" s="9" t="str">
        <f>IF(ISNUMBER(MATCH($A185, 대여현황!$A:$A, 0)), INDEX(대여현황!D:D, MATCH($A185, 대여현황!$A:$A, 0)), "")</f>
        <v/>
      </c>
      <c r="E185" s="10" t="str">
        <f>IF(ISNUMBER(MATCH($A185, 대여현황!$A:$A, 0)), INDEX(대여현황!E:E, MATCH($A185, 대여현황!$A:$A, 0)), "")</f>
        <v/>
      </c>
      <c r="F185" s="22" t="str">
        <f>IF(ISNUMBER(MATCH($A185, 대여현황!$A:$A, 0)), INDEX(대여현황!F:F, MATCH($A185, 대여현황!$A:$A, 0)), "-")</f>
        <v>-</v>
      </c>
    </row>
    <row r="186" spans="1:6" ht="20" customHeight="1">
      <c r="A186" s="9"/>
      <c r="B186" s="3"/>
      <c r="C186" s="9" t="str">
        <f>IF(ISNUMBER(MATCH($A186, 대여현황!$A:$A, 0)), INDEX(대여현황!C:C, MATCH($A186, 대여현황!$A:$A, 0)), "")</f>
        <v/>
      </c>
      <c r="D186" s="9" t="str">
        <f>IF(ISNUMBER(MATCH($A186, 대여현황!$A:$A, 0)), INDEX(대여현황!D:D, MATCH($A186, 대여현황!$A:$A, 0)), "")</f>
        <v/>
      </c>
      <c r="E186" s="10" t="str">
        <f>IF(ISNUMBER(MATCH($A186, 대여현황!$A:$A, 0)), INDEX(대여현황!E:E, MATCH($A186, 대여현황!$A:$A, 0)), "")</f>
        <v/>
      </c>
      <c r="F186" s="22" t="str">
        <f>IF(ISNUMBER(MATCH($A186, 대여현황!$A:$A, 0)), INDEX(대여현황!F:F, MATCH($A186, 대여현황!$A:$A, 0)), "-")</f>
        <v>-</v>
      </c>
    </row>
    <row r="187" spans="1:6" ht="20" customHeight="1">
      <c r="A187" s="9"/>
      <c r="B187" s="3"/>
      <c r="C187" s="9" t="str">
        <f>IF(ISNUMBER(MATCH($A187, 대여현황!$A:$A, 0)), INDEX(대여현황!C:C, MATCH($A187, 대여현황!$A:$A, 0)), "")</f>
        <v/>
      </c>
      <c r="D187" s="9" t="str">
        <f>IF(ISNUMBER(MATCH($A187, 대여현황!$A:$A, 0)), INDEX(대여현황!D:D, MATCH($A187, 대여현황!$A:$A, 0)), "")</f>
        <v/>
      </c>
      <c r="E187" s="10" t="str">
        <f>IF(ISNUMBER(MATCH($A187, 대여현황!$A:$A, 0)), INDEX(대여현황!E:E, MATCH($A187, 대여현황!$A:$A, 0)), "")</f>
        <v/>
      </c>
      <c r="F187" s="22" t="str">
        <f>IF(ISNUMBER(MATCH($A187, 대여현황!$A:$A, 0)), INDEX(대여현황!F:F, MATCH($A187, 대여현황!$A:$A, 0)), "-")</f>
        <v>-</v>
      </c>
    </row>
    <row r="188" spans="1:6" ht="20" customHeight="1">
      <c r="A188" s="9"/>
      <c r="B188" s="3"/>
      <c r="C188" s="9" t="str">
        <f>IF(ISNUMBER(MATCH($A188, 대여현황!$A:$A, 0)), INDEX(대여현황!C:C, MATCH($A188, 대여현황!$A:$A, 0)), "")</f>
        <v/>
      </c>
      <c r="D188" s="9" t="str">
        <f>IF(ISNUMBER(MATCH($A188, 대여현황!$A:$A, 0)), INDEX(대여현황!D:D, MATCH($A188, 대여현황!$A:$A, 0)), "")</f>
        <v/>
      </c>
      <c r="E188" s="10" t="str">
        <f>IF(ISNUMBER(MATCH($A188, 대여현황!$A:$A, 0)), INDEX(대여현황!E:E, MATCH($A188, 대여현황!$A:$A, 0)), "")</f>
        <v/>
      </c>
      <c r="F188" s="22" t="str">
        <f>IF(ISNUMBER(MATCH($A188, 대여현황!$A:$A, 0)), INDEX(대여현황!F:F, MATCH($A188, 대여현황!$A:$A, 0)), "-")</f>
        <v>-</v>
      </c>
    </row>
    <row r="189" spans="1:6" ht="20" customHeight="1">
      <c r="A189" s="9"/>
      <c r="B189" s="3"/>
      <c r="C189" s="9" t="str">
        <f>IF(ISNUMBER(MATCH($A189, 대여현황!$A:$A, 0)), INDEX(대여현황!C:C, MATCH($A189, 대여현황!$A:$A, 0)), "")</f>
        <v/>
      </c>
      <c r="D189" s="9" t="str">
        <f>IF(ISNUMBER(MATCH($A189, 대여현황!$A:$A, 0)), INDEX(대여현황!D:D, MATCH($A189, 대여현황!$A:$A, 0)), "")</f>
        <v/>
      </c>
      <c r="E189" s="10" t="str">
        <f>IF(ISNUMBER(MATCH($A189, 대여현황!$A:$A, 0)), INDEX(대여현황!E:E, MATCH($A189, 대여현황!$A:$A, 0)), "")</f>
        <v/>
      </c>
      <c r="F189" s="22" t="str">
        <f>IF(ISNUMBER(MATCH($A189, 대여현황!$A:$A, 0)), INDEX(대여현황!F:F, MATCH($A189, 대여현황!$A:$A, 0)), "-")</f>
        <v>-</v>
      </c>
    </row>
    <row r="190" spans="1:6" ht="20" customHeight="1">
      <c r="A190" s="9"/>
      <c r="B190" s="3"/>
      <c r="C190" s="9" t="str">
        <f>IF(ISNUMBER(MATCH($A190, 대여현황!$A:$A, 0)), INDEX(대여현황!C:C, MATCH($A190, 대여현황!$A:$A, 0)), "")</f>
        <v/>
      </c>
      <c r="D190" s="9" t="str">
        <f>IF(ISNUMBER(MATCH($A190, 대여현황!$A:$A, 0)), INDEX(대여현황!D:D, MATCH($A190, 대여현황!$A:$A, 0)), "")</f>
        <v/>
      </c>
      <c r="E190" s="10" t="str">
        <f>IF(ISNUMBER(MATCH($A190, 대여현황!$A:$A, 0)), INDEX(대여현황!E:E, MATCH($A190, 대여현황!$A:$A, 0)), "")</f>
        <v/>
      </c>
      <c r="F190" s="22" t="str">
        <f>IF(ISNUMBER(MATCH($A190, 대여현황!$A:$A, 0)), INDEX(대여현황!F:F, MATCH($A190, 대여현황!$A:$A, 0)), "-")</f>
        <v>-</v>
      </c>
    </row>
    <row r="191" spans="1:6" ht="20" customHeight="1">
      <c r="A191" s="9"/>
      <c r="B191" s="3"/>
      <c r="C191" s="9" t="str">
        <f>IF(ISNUMBER(MATCH($A191, 대여현황!$A:$A, 0)), INDEX(대여현황!C:C, MATCH($A191, 대여현황!$A:$A, 0)), "")</f>
        <v/>
      </c>
      <c r="D191" s="9" t="str">
        <f>IF(ISNUMBER(MATCH($A191, 대여현황!$A:$A, 0)), INDEX(대여현황!D:D, MATCH($A191, 대여현황!$A:$A, 0)), "")</f>
        <v/>
      </c>
      <c r="E191" s="10" t="str">
        <f>IF(ISNUMBER(MATCH($A191, 대여현황!$A:$A, 0)), INDEX(대여현황!E:E, MATCH($A191, 대여현황!$A:$A, 0)), "")</f>
        <v/>
      </c>
      <c r="F191" s="22" t="str">
        <f>IF(ISNUMBER(MATCH($A191, 대여현황!$A:$A, 0)), INDEX(대여현황!F:F, MATCH($A191, 대여현황!$A:$A, 0)), "-")</f>
        <v>-</v>
      </c>
    </row>
    <row r="192" spans="1:6" ht="20" customHeight="1">
      <c r="A192" s="9"/>
      <c r="B192" s="3"/>
      <c r="C192" s="9" t="str">
        <f>IF(ISNUMBER(MATCH($A192, 대여현황!$A:$A, 0)), INDEX(대여현황!C:C, MATCH($A192, 대여현황!$A:$A, 0)), "")</f>
        <v/>
      </c>
      <c r="D192" s="9" t="str">
        <f>IF(ISNUMBER(MATCH($A192, 대여현황!$A:$A, 0)), INDEX(대여현황!D:D, MATCH($A192, 대여현황!$A:$A, 0)), "")</f>
        <v/>
      </c>
      <c r="E192" s="10" t="str">
        <f>IF(ISNUMBER(MATCH($A192, 대여현황!$A:$A, 0)), INDEX(대여현황!E:E, MATCH($A192, 대여현황!$A:$A, 0)), "")</f>
        <v/>
      </c>
      <c r="F192" s="22" t="str">
        <f>IF(ISNUMBER(MATCH($A192, 대여현황!$A:$A, 0)), INDEX(대여현황!F:F, MATCH($A192, 대여현황!$A:$A, 0)), "-")</f>
        <v>-</v>
      </c>
    </row>
    <row r="193" spans="1:6" ht="20" customHeight="1">
      <c r="A193" s="9"/>
      <c r="B193" s="3"/>
      <c r="C193" s="9" t="str">
        <f>IF(ISNUMBER(MATCH($A193, 대여현황!$A:$A, 0)), INDEX(대여현황!C:C, MATCH($A193, 대여현황!$A:$A, 0)), "")</f>
        <v/>
      </c>
      <c r="D193" s="9" t="str">
        <f>IF(ISNUMBER(MATCH($A193, 대여현황!$A:$A, 0)), INDEX(대여현황!D:D, MATCH($A193, 대여현황!$A:$A, 0)), "")</f>
        <v/>
      </c>
      <c r="E193" s="10" t="str">
        <f>IF(ISNUMBER(MATCH($A193, 대여현황!$A:$A, 0)), INDEX(대여현황!E:E, MATCH($A193, 대여현황!$A:$A, 0)), "")</f>
        <v/>
      </c>
      <c r="F193" s="22" t="str">
        <f>IF(ISNUMBER(MATCH($A193, 대여현황!$A:$A, 0)), INDEX(대여현황!F:F, MATCH($A193, 대여현황!$A:$A, 0)), "-")</f>
        <v>-</v>
      </c>
    </row>
    <row r="194" spans="1:6" ht="20" customHeight="1">
      <c r="A194" s="9"/>
      <c r="B194" s="3"/>
      <c r="C194" s="9" t="str">
        <f>IF(ISNUMBER(MATCH($A194, 대여현황!$A:$A, 0)), INDEX(대여현황!C:C, MATCH($A194, 대여현황!$A:$A, 0)), "")</f>
        <v/>
      </c>
      <c r="D194" s="9" t="str">
        <f>IF(ISNUMBER(MATCH($A194, 대여현황!$A:$A, 0)), INDEX(대여현황!D:D, MATCH($A194, 대여현황!$A:$A, 0)), "")</f>
        <v/>
      </c>
      <c r="E194" s="10" t="str">
        <f>IF(ISNUMBER(MATCH($A194, 대여현황!$A:$A, 0)), INDEX(대여현황!E:E, MATCH($A194, 대여현황!$A:$A, 0)), "")</f>
        <v/>
      </c>
      <c r="F194" s="22" t="str">
        <f>IF(ISNUMBER(MATCH($A194, 대여현황!$A:$A, 0)), INDEX(대여현황!F:F, MATCH($A194, 대여현황!$A:$A, 0)), "-")</f>
        <v>-</v>
      </c>
    </row>
    <row r="195" spans="1:6" ht="20" customHeight="1">
      <c r="A195" s="9"/>
      <c r="B195" s="3"/>
      <c r="C195" s="9" t="str">
        <f>IF(ISNUMBER(MATCH($A195, 대여현황!$A:$A, 0)), INDEX(대여현황!C:C, MATCH($A195, 대여현황!$A:$A, 0)), "")</f>
        <v/>
      </c>
      <c r="D195" s="9" t="str">
        <f>IF(ISNUMBER(MATCH($A195, 대여현황!$A:$A, 0)), INDEX(대여현황!D:D, MATCH($A195, 대여현황!$A:$A, 0)), "")</f>
        <v/>
      </c>
      <c r="E195" s="10" t="str">
        <f>IF(ISNUMBER(MATCH($A195, 대여현황!$A:$A, 0)), INDEX(대여현황!E:E, MATCH($A195, 대여현황!$A:$A, 0)), "")</f>
        <v/>
      </c>
      <c r="F195" s="22" t="str">
        <f>IF(ISNUMBER(MATCH($A195, 대여현황!$A:$A, 0)), INDEX(대여현황!F:F, MATCH($A195, 대여현황!$A:$A, 0)), "-")</f>
        <v>-</v>
      </c>
    </row>
    <row r="196" spans="1:6" ht="20" customHeight="1">
      <c r="A196" s="9"/>
      <c r="B196" s="3"/>
      <c r="C196" s="9" t="str">
        <f>IF(ISNUMBER(MATCH($A196, 대여현황!$A:$A, 0)), INDEX(대여현황!C:C, MATCH($A196, 대여현황!$A:$A, 0)), "")</f>
        <v/>
      </c>
      <c r="D196" s="9" t="str">
        <f>IF(ISNUMBER(MATCH($A196, 대여현황!$A:$A, 0)), INDEX(대여현황!D:D, MATCH($A196, 대여현황!$A:$A, 0)), "")</f>
        <v/>
      </c>
      <c r="E196" s="10" t="str">
        <f>IF(ISNUMBER(MATCH($A196, 대여현황!$A:$A, 0)), INDEX(대여현황!E:E, MATCH($A196, 대여현황!$A:$A, 0)), "")</f>
        <v/>
      </c>
      <c r="F196" s="22" t="str">
        <f>IF(ISNUMBER(MATCH($A196, 대여현황!$A:$A, 0)), INDEX(대여현황!F:F, MATCH($A196, 대여현황!$A:$A, 0)), "-")</f>
        <v>-</v>
      </c>
    </row>
    <row r="197" spans="1:6" ht="20" customHeight="1">
      <c r="A197" s="9"/>
      <c r="B197" s="3"/>
      <c r="C197" s="9" t="str">
        <f>IF(ISNUMBER(MATCH($A197, 대여현황!$A:$A, 0)), INDEX(대여현황!C:C, MATCH($A197, 대여현황!$A:$A, 0)), "")</f>
        <v/>
      </c>
      <c r="D197" s="9" t="str">
        <f>IF(ISNUMBER(MATCH($A197, 대여현황!$A:$A, 0)), INDEX(대여현황!D:D, MATCH($A197, 대여현황!$A:$A, 0)), "")</f>
        <v/>
      </c>
      <c r="E197" s="10" t="str">
        <f>IF(ISNUMBER(MATCH($A197, 대여현황!$A:$A, 0)), INDEX(대여현황!E:E, MATCH($A197, 대여현황!$A:$A, 0)), "")</f>
        <v/>
      </c>
      <c r="F197" s="22" t="str">
        <f>IF(ISNUMBER(MATCH($A197, 대여현황!$A:$A, 0)), INDEX(대여현황!F:F, MATCH($A197, 대여현황!$A:$A, 0)), "-")</f>
        <v>-</v>
      </c>
    </row>
    <row r="198" spans="1:6" ht="20" customHeight="1">
      <c r="A198" s="9"/>
      <c r="B198" s="3"/>
      <c r="C198" s="9" t="str">
        <f>IF(ISNUMBER(MATCH($A198, 대여현황!$A:$A, 0)), INDEX(대여현황!C:C, MATCH($A198, 대여현황!$A:$A, 0)), "")</f>
        <v/>
      </c>
      <c r="D198" s="9" t="str">
        <f>IF(ISNUMBER(MATCH($A198, 대여현황!$A:$A, 0)), INDEX(대여현황!D:D, MATCH($A198, 대여현황!$A:$A, 0)), "")</f>
        <v/>
      </c>
      <c r="E198" s="10" t="str">
        <f>IF(ISNUMBER(MATCH($A198, 대여현황!$A:$A, 0)), INDEX(대여현황!E:E, MATCH($A198, 대여현황!$A:$A, 0)), "")</f>
        <v/>
      </c>
      <c r="F198" s="22" t="str">
        <f>IF(ISNUMBER(MATCH($A198, 대여현황!$A:$A, 0)), INDEX(대여현황!F:F, MATCH($A198, 대여현황!$A:$A, 0)), "-")</f>
        <v>-</v>
      </c>
    </row>
    <row r="199" spans="1:6" ht="20" customHeight="1">
      <c r="A199" s="9"/>
      <c r="B199" s="3"/>
      <c r="C199" s="9" t="str">
        <f>IF(ISNUMBER(MATCH($A199, 대여현황!$A:$A, 0)), INDEX(대여현황!C:C, MATCH($A199, 대여현황!$A:$A, 0)), "")</f>
        <v/>
      </c>
      <c r="D199" s="9" t="str">
        <f>IF(ISNUMBER(MATCH($A199, 대여현황!$A:$A, 0)), INDEX(대여현황!D:D, MATCH($A199, 대여현황!$A:$A, 0)), "")</f>
        <v/>
      </c>
      <c r="E199" s="10" t="str">
        <f>IF(ISNUMBER(MATCH($A199, 대여현황!$A:$A, 0)), INDEX(대여현황!E:E, MATCH($A199, 대여현황!$A:$A, 0)), "")</f>
        <v/>
      </c>
      <c r="F199" s="22" t="str">
        <f>IF(ISNUMBER(MATCH($A199, 대여현황!$A:$A, 0)), INDEX(대여현황!F:F, MATCH($A199, 대여현황!$A:$A, 0)), "-")</f>
        <v>-</v>
      </c>
    </row>
    <row r="200" spans="1:6" ht="20" customHeight="1">
      <c r="A200" s="9"/>
      <c r="B200" s="3"/>
      <c r="C200" s="9" t="str">
        <f>IF(ISNUMBER(MATCH($A200, 대여현황!$A:$A, 0)), INDEX(대여현황!C:C, MATCH($A200, 대여현황!$A:$A, 0)), "")</f>
        <v/>
      </c>
      <c r="D200" s="9" t="str">
        <f>IF(ISNUMBER(MATCH($A200, 대여현황!$A:$A, 0)), INDEX(대여현황!D:D, MATCH($A200, 대여현황!$A:$A, 0)), "")</f>
        <v/>
      </c>
      <c r="E200" s="10" t="str">
        <f>IF(ISNUMBER(MATCH($A200, 대여현황!$A:$A, 0)), INDEX(대여현황!E:E, MATCH($A200, 대여현황!$A:$A, 0)), "")</f>
        <v/>
      </c>
      <c r="F200" s="22" t="str">
        <f>IF(ISNUMBER(MATCH($A200, 대여현황!$A:$A, 0)), INDEX(대여현황!F:F, MATCH($A200, 대여현황!$A:$A, 0)), "-")</f>
        <v>-</v>
      </c>
    </row>
  </sheetData>
  <autoFilter ref="A2:F200" xr:uid="{733C6B3B-FC79-9049-A9D7-BEF7C606D596}"/>
  <mergeCells count="6">
    <mergeCell ref="Q1:R2"/>
    <mergeCell ref="A1:F1"/>
    <mergeCell ref="H1:I2"/>
    <mergeCell ref="J1:K2"/>
    <mergeCell ref="L1:M2"/>
    <mergeCell ref="O1:P2"/>
  </mergeCells>
  <phoneticPr fontId="4" type="noConversion"/>
  <conditionalFormatting sqref="A1:F1048576">
    <cfRule type="expression" dxfId="14" priority="1">
      <formula>$F1="소실"</formula>
    </cfRule>
    <cfRule type="expression" dxfId="13" priority="2">
      <formula>$F1="일반대여"</formula>
    </cfRule>
    <cfRule type="expression" dxfId="12" priority="3">
      <formula>$F1="장기대여"</formula>
    </cfRule>
  </conditionalFormatting>
  <hyperlinks>
    <hyperlink ref="H1:I2" location="대여현황!A1" display="대여현황" xr:uid="{DB938A2A-DCB9-7A41-B316-945CC7E887DF}"/>
    <hyperlink ref="J1:K2" location="'TAM-A'!A1" display="TAM-A" xr:uid="{EDEEDABA-9D9F-594D-B38B-4491455C9DEF}"/>
    <hyperlink ref="L1:M2" location="'TAM-M'!A1" display="TAM-M" xr:uid="{A9112BEE-E3F3-D04D-9496-772A03FD8BB3}"/>
    <hyperlink ref="O1:P2" location="'NA-N'!A1" display="NA-N" xr:uid="{2D805891-466C-D849-897B-59FA0F09C82E}"/>
    <hyperlink ref="Q1:R2" location="'NA-A'!A1" display="NA-A" xr:uid="{49C52FBD-27EC-8C49-BFBA-F6B66F44A5D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F6335-0E8B-7E47-B209-A59117FB36D5}">
  <sheetPr codeName="Sheet4"/>
  <dimension ref="A1:R200"/>
  <sheetViews>
    <sheetView workbookViewId="0">
      <pane ySplit="2" topLeftCell="A3" activePane="bottomLeft" state="frozen"/>
      <selection pane="bottomLeft" activeCell="I10" sqref="I10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38" t="s">
        <v>370</v>
      </c>
      <c r="B1" s="39"/>
      <c r="C1" s="39"/>
      <c r="D1" s="39"/>
      <c r="E1" s="39"/>
      <c r="F1" s="40"/>
      <c r="G1" s="1"/>
      <c r="H1" s="26" t="s">
        <v>381</v>
      </c>
      <c r="I1" s="27"/>
      <c r="J1" s="41" t="s">
        <v>387</v>
      </c>
      <c r="K1" s="42"/>
      <c r="L1" s="30" t="s">
        <v>383</v>
      </c>
      <c r="M1" s="31"/>
      <c r="N1" s="1"/>
      <c r="O1" s="30" t="s">
        <v>384</v>
      </c>
      <c r="P1" s="31"/>
      <c r="Q1" s="30" t="s">
        <v>385</v>
      </c>
      <c r="R1" s="31"/>
    </row>
    <row r="2" spans="1:18" ht="20" customHeight="1" thickBot="1">
      <c r="A2" s="12" t="s">
        <v>140</v>
      </c>
      <c r="B2" s="12" t="s">
        <v>146</v>
      </c>
      <c r="C2" s="12" t="s">
        <v>142</v>
      </c>
      <c r="D2" s="12" t="s">
        <v>138</v>
      </c>
      <c r="E2" s="13" t="s">
        <v>295</v>
      </c>
      <c r="F2" s="14" t="s">
        <v>367</v>
      </c>
      <c r="G2" s="1"/>
      <c r="H2" s="28"/>
      <c r="I2" s="29"/>
      <c r="J2" s="43"/>
      <c r="K2" s="44"/>
      <c r="L2" s="32"/>
      <c r="M2" s="33"/>
      <c r="N2" s="1"/>
      <c r="O2" s="32"/>
      <c r="P2" s="33"/>
      <c r="Q2" s="32"/>
      <c r="R2" s="33"/>
    </row>
    <row r="3" spans="1:18" ht="20" customHeight="1">
      <c r="A3" s="9">
        <v>111</v>
      </c>
      <c r="B3" s="3" t="s">
        <v>207</v>
      </c>
      <c r="C3" s="9" t="str">
        <f>IF(ISNUMBER(MATCH($A3, 대여현황!$A:$A, 0)), INDEX(대여현황!C:C, MATCH($A3, 대여현황!$A:$A, 0)), "")</f>
        <v/>
      </c>
      <c r="D3" s="9" t="str">
        <f>IF(ISNUMBER(MATCH($A3, 대여현황!$A:$A, 0)), INDEX(대여현황!D:D, MATCH($A3, 대여현황!$A:$A, 0)), "")</f>
        <v/>
      </c>
      <c r="E3" s="10" t="str">
        <f>IF(ISNUMBER(MATCH($A3, 대여현황!$A:$A, 0)), INDEX(대여현황!E:E, MATCH($A3, 대여현황!$A:$A, 0)), "")</f>
        <v/>
      </c>
      <c r="F3" s="10" t="str">
        <f>IF(ISNUMBER(MATCH($A3, 대여현황!$A:$A, 0)), INDEX(대여현황!F:F, MATCH($A3, 대여현황!$A:$A, 0)), "-")</f>
        <v>-</v>
      </c>
    </row>
    <row r="4" spans="1:18" ht="20" customHeight="1">
      <c r="A4" s="9">
        <v>112</v>
      </c>
      <c r="B4" s="3" t="s">
        <v>207</v>
      </c>
      <c r="C4" s="9" t="str">
        <f>IF(ISNUMBER(MATCH($A4, 대여현황!$A:$A, 0)), INDEX(대여현황!C:C, MATCH($A4, 대여현황!$A:$A, 0)), "")</f>
        <v/>
      </c>
      <c r="D4" s="9" t="str">
        <f>IF(ISNUMBER(MATCH($A4, 대여현황!$A:$A, 0)), INDEX(대여현황!D:D, MATCH($A4, 대여현황!$A:$A, 0)), "")</f>
        <v/>
      </c>
      <c r="E4" s="10" t="str">
        <f>IF(ISNUMBER(MATCH($A4, 대여현황!$A:$A, 0)), INDEX(대여현황!E:E, MATCH($A4, 대여현황!$A:$A, 0)), "")</f>
        <v/>
      </c>
      <c r="F4" s="10" t="str">
        <f>IF(ISNUMBER(MATCH($A4, 대여현황!$A:$A, 0)), INDEX(대여현황!F:F, MATCH($A4, 대여현황!$A:$A, 0)), "-")</f>
        <v>-</v>
      </c>
    </row>
    <row r="5" spans="1:18" ht="20" customHeight="1">
      <c r="A5" s="9">
        <v>113</v>
      </c>
      <c r="B5" s="3" t="s">
        <v>58</v>
      </c>
      <c r="C5" s="9" t="str">
        <f>IF(ISNUMBER(MATCH($A5, 대여현황!$A:$A, 0)), INDEX(대여현황!C:C, MATCH($A5, 대여현황!$A:$A, 0)), "")</f>
        <v/>
      </c>
      <c r="D5" s="9" t="str">
        <f>IF(ISNUMBER(MATCH($A5, 대여현황!$A:$A, 0)), INDEX(대여현황!D:D, MATCH($A5, 대여현황!$A:$A, 0)), "")</f>
        <v/>
      </c>
      <c r="E5" s="10" t="str">
        <f>IF(ISNUMBER(MATCH($A5, 대여현황!$A:$A, 0)), INDEX(대여현황!E:E, MATCH($A5, 대여현황!$A:$A, 0)), "")</f>
        <v/>
      </c>
      <c r="F5" s="10" t="str">
        <f>IF(ISNUMBER(MATCH($A5, 대여현황!$A:$A, 0)), INDEX(대여현황!F:F, MATCH($A5, 대여현황!$A:$A, 0)), "-")</f>
        <v>-</v>
      </c>
    </row>
    <row r="6" spans="1:18" ht="20" customHeight="1">
      <c r="A6" s="9">
        <v>114</v>
      </c>
      <c r="B6" s="3" t="s">
        <v>58</v>
      </c>
      <c r="C6" s="9" t="str">
        <f>IF(ISNUMBER(MATCH($A6, 대여현황!$A:$A, 0)), INDEX(대여현황!C:C, MATCH($A6, 대여현황!$A:$A, 0)), "")</f>
        <v/>
      </c>
      <c r="D6" s="9" t="str">
        <f>IF(ISNUMBER(MATCH($A6, 대여현황!$A:$A, 0)), INDEX(대여현황!D:D, MATCH($A6, 대여현황!$A:$A, 0)), "")</f>
        <v/>
      </c>
      <c r="E6" s="10" t="str">
        <f>IF(ISNUMBER(MATCH($A6, 대여현황!$A:$A, 0)), INDEX(대여현황!E:E, MATCH($A6, 대여현황!$A:$A, 0)), "")</f>
        <v/>
      </c>
      <c r="F6" s="10" t="str">
        <f>IF(ISNUMBER(MATCH($A6, 대여현황!$A:$A, 0)), INDEX(대여현황!F:F, MATCH($A6, 대여현황!$A:$A, 0)), "-")</f>
        <v>-</v>
      </c>
    </row>
    <row r="7" spans="1:18" ht="20" customHeight="1">
      <c r="A7" s="9">
        <v>115</v>
      </c>
      <c r="B7" s="3" t="s">
        <v>213</v>
      </c>
      <c r="C7" s="9" t="str">
        <f>IF(ISNUMBER(MATCH($A7, 대여현황!$A:$A, 0)), INDEX(대여현황!C:C, MATCH($A7, 대여현황!$A:$A, 0)), "")</f>
        <v/>
      </c>
      <c r="D7" s="9" t="str">
        <f>IF(ISNUMBER(MATCH($A7, 대여현황!$A:$A, 0)), INDEX(대여현황!D:D, MATCH($A7, 대여현황!$A:$A, 0)), "")</f>
        <v/>
      </c>
      <c r="E7" s="10" t="str">
        <f>IF(ISNUMBER(MATCH($A7, 대여현황!$A:$A, 0)), INDEX(대여현황!E:E, MATCH($A7, 대여현황!$A:$A, 0)), "")</f>
        <v/>
      </c>
      <c r="F7" s="10" t="str">
        <f>IF(ISNUMBER(MATCH($A7, 대여현황!$A:$A, 0)), INDEX(대여현황!F:F, MATCH($A7, 대여현황!$A:$A, 0)), "-")</f>
        <v>-</v>
      </c>
    </row>
    <row r="8" spans="1:18" ht="20" customHeight="1">
      <c r="A8" s="9">
        <v>116</v>
      </c>
      <c r="B8" s="3" t="s">
        <v>213</v>
      </c>
      <c r="C8" s="9" t="str">
        <f>IF(ISNUMBER(MATCH($A8, 대여현황!$A:$A, 0)), INDEX(대여현황!C:C, MATCH($A8, 대여현황!$A:$A, 0)), "")</f>
        <v/>
      </c>
      <c r="D8" s="9" t="str">
        <f>IF(ISNUMBER(MATCH($A8, 대여현황!$A:$A, 0)), INDEX(대여현황!D:D, MATCH($A8, 대여현황!$A:$A, 0)), "")</f>
        <v/>
      </c>
      <c r="E8" s="10" t="str">
        <f>IF(ISNUMBER(MATCH($A8, 대여현황!$A:$A, 0)), INDEX(대여현황!E:E, MATCH($A8, 대여현황!$A:$A, 0)), "")</f>
        <v/>
      </c>
      <c r="F8" s="10" t="str">
        <f>IF(ISNUMBER(MATCH($A8, 대여현황!$A:$A, 0)), INDEX(대여현황!F:F, MATCH($A8, 대여현황!$A:$A, 0)), "-")</f>
        <v>-</v>
      </c>
    </row>
    <row r="9" spans="1:18" ht="20" customHeight="1">
      <c r="A9" s="9">
        <v>117</v>
      </c>
      <c r="B9" s="3" t="s">
        <v>162</v>
      </c>
      <c r="C9" s="9" t="str">
        <f>IF(ISNUMBER(MATCH($A9, 대여현황!$A:$A, 0)), INDEX(대여현황!C:C, MATCH($A9, 대여현황!$A:$A, 0)), "")</f>
        <v/>
      </c>
      <c r="D9" s="9" t="str">
        <f>IF(ISNUMBER(MATCH($A9, 대여현황!$A:$A, 0)), INDEX(대여현황!D:D, MATCH($A9, 대여현황!$A:$A, 0)), "")</f>
        <v/>
      </c>
      <c r="E9" s="10" t="str">
        <f>IF(ISNUMBER(MATCH($A9, 대여현황!$A:$A, 0)), INDEX(대여현황!E:E, MATCH($A9, 대여현황!$A:$A, 0)), "")</f>
        <v/>
      </c>
      <c r="F9" s="10" t="str">
        <f>IF(ISNUMBER(MATCH($A9, 대여현황!$A:$A, 0)), INDEX(대여현황!F:F, MATCH($A9, 대여현황!$A:$A, 0)), "-")</f>
        <v>-</v>
      </c>
    </row>
    <row r="10" spans="1:18" ht="20" customHeight="1">
      <c r="A10" s="9">
        <v>118</v>
      </c>
      <c r="B10" s="3" t="s">
        <v>162</v>
      </c>
      <c r="C10" s="9" t="str">
        <f>IF(ISNUMBER(MATCH($A10, 대여현황!$A:$A, 0)), INDEX(대여현황!C:C, MATCH($A10, 대여현황!$A:$A, 0)), "")</f>
        <v/>
      </c>
      <c r="D10" s="9" t="str">
        <f>IF(ISNUMBER(MATCH($A10, 대여현황!$A:$A, 0)), INDEX(대여현황!D:D, MATCH($A10, 대여현황!$A:$A, 0)), "")</f>
        <v/>
      </c>
      <c r="E10" s="10" t="str">
        <f>IF(ISNUMBER(MATCH($A10, 대여현황!$A:$A, 0)), INDEX(대여현황!E:E, MATCH($A10, 대여현황!$A:$A, 0)), "")</f>
        <v/>
      </c>
      <c r="F10" s="10" t="str">
        <f>IF(ISNUMBER(MATCH($A10, 대여현황!$A:$A, 0)), INDEX(대여현황!F:F, MATCH($A10, 대여현황!$A:$A, 0)), "-")</f>
        <v>-</v>
      </c>
    </row>
    <row r="11" spans="1:18" ht="20" customHeight="1">
      <c r="A11" s="9">
        <v>119</v>
      </c>
      <c r="B11" s="3" t="s">
        <v>162</v>
      </c>
      <c r="C11" s="9" t="str">
        <f>IF(ISNUMBER(MATCH($A11, 대여현황!$A:$A, 0)), INDEX(대여현황!C:C, MATCH($A11, 대여현황!$A:$A, 0)), "")</f>
        <v/>
      </c>
      <c r="D11" s="9" t="str">
        <f>IF(ISNUMBER(MATCH($A11, 대여현황!$A:$A, 0)), INDEX(대여현황!D:D, MATCH($A11, 대여현황!$A:$A, 0)), "")</f>
        <v/>
      </c>
      <c r="E11" s="10" t="str">
        <f>IF(ISNUMBER(MATCH($A11, 대여현황!$A:$A, 0)), INDEX(대여현황!E:E, MATCH($A11, 대여현황!$A:$A, 0)), "")</f>
        <v/>
      </c>
      <c r="F11" s="10" t="str">
        <f>IF(ISNUMBER(MATCH($A11, 대여현황!$A:$A, 0)), INDEX(대여현황!F:F, MATCH($A11, 대여현황!$A:$A, 0)), "-")</f>
        <v>-</v>
      </c>
    </row>
    <row r="12" spans="1:18" ht="20" customHeight="1">
      <c r="A12" s="9">
        <v>120</v>
      </c>
      <c r="B12" s="3" t="s">
        <v>274</v>
      </c>
      <c r="C12" s="9" t="str">
        <f>IF(ISNUMBER(MATCH($A12, 대여현황!$A:$A, 0)), INDEX(대여현황!C:C, MATCH($A12, 대여현황!$A:$A, 0)), "")</f>
        <v/>
      </c>
      <c r="D12" s="9" t="str">
        <f>IF(ISNUMBER(MATCH($A12, 대여현황!$A:$A, 0)), INDEX(대여현황!D:D, MATCH($A12, 대여현황!$A:$A, 0)), "")</f>
        <v/>
      </c>
      <c r="E12" s="10" t="str">
        <f>IF(ISNUMBER(MATCH($A12, 대여현황!$A:$A, 0)), INDEX(대여현황!E:E, MATCH($A12, 대여현황!$A:$A, 0)), "")</f>
        <v/>
      </c>
      <c r="F12" s="10" t="str">
        <f>IF(ISNUMBER(MATCH($A12, 대여현황!$A:$A, 0)), INDEX(대여현황!F:F, MATCH($A12, 대여현황!$A:$A, 0)), "-")</f>
        <v>-</v>
      </c>
    </row>
    <row r="13" spans="1:18" ht="20" customHeight="1">
      <c r="A13" s="9">
        <v>121</v>
      </c>
      <c r="B13" s="3" t="s">
        <v>32</v>
      </c>
      <c r="C13" s="9" t="str">
        <f>IF(ISNUMBER(MATCH($A13, 대여현황!$A:$A, 0)), INDEX(대여현황!C:C, MATCH($A13, 대여현황!$A:$A, 0)), "")</f>
        <v/>
      </c>
      <c r="D13" s="9" t="str">
        <f>IF(ISNUMBER(MATCH($A13, 대여현황!$A:$A, 0)), INDEX(대여현황!D:D, MATCH($A13, 대여현황!$A:$A, 0)), "")</f>
        <v/>
      </c>
      <c r="E13" s="10" t="str">
        <f>IF(ISNUMBER(MATCH($A13, 대여현황!$A:$A, 0)), INDEX(대여현황!E:E, MATCH($A13, 대여현황!$A:$A, 0)), "")</f>
        <v/>
      </c>
      <c r="F13" s="10" t="str">
        <f>IF(ISNUMBER(MATCH($A13, 대여현황!$A:$A, 0)), INDEX(대여현황!F:F, MATCH($A13, 대여현황!$A:$A, 0)), "-")</f>
        <v>-</v>
      </c>
    </row>
    <row r="14" spans="1:18" ht="20" customHeight="1">
      <c r="A14" s="9">
        <v>122</v>
      </c>
      <c r="B14" s="3" t="s">
        <v>32</v>
      </c>
      <c r="C14" s="9" t="str">
        <f>IF(ISNUMBER(MATCH($A14, 대여현황!$A:$A, 0)), INDEX(대여현황!C:C, MATCH($A14, 대여현황!$A:$A, 0)), "")</f>
        <v/>
      </c>
      <c r="D14" s="9" t="str">
        <f>IF(ISNUMBER(MATCH($A14, 대여현황!$A:$A, 0)), INDEX(대여현황!D:D, MATCH($A14, 대여현황!$A:$A, 0)), "")</f>
        <v/>
      </c>
      <c r="E14" s="10" t="str">
        <f>IF(ISNUMBER(MATCH($A14, 대여현황!$A:$A, 0)), INDEX(대여현황!E:E, MATCH($A14, 대여현황!$A:$A, 0)), "")</f>
        <v/>
      </c>
      <c r="F14" s="10" t="str">
        <f>IF(ISNUMBER(MATCH($A14, 대여현황!$A:$A, 0)), INDEX(대여현황!F:F, MATCH($A14, 대여현황!$A:$A, 0)), "-")</f>
        <v>-</v>
      </c>
    </row>
    <row r="15" spans="1:18" ht="20" customHeight="1">
      <c r="A15" s="5">
        <v>123</v>
      </c>
      <c r="B15" s="6" t="s">
        <v>290</v>
      </c>
      <c r="C15" s="9" t="str">
        <f>IF(ISNUMBER(MATCH($A15, 대여현황!$A:$A, 0)), INDEX(대여현황!C:C, MATCH($A15, 대여현황!$A:$A, 0)), "")</f>
        <v/>
      </c>
      <c r="D15" s="9" t="str">
        <f>IF(ISNUMBER(MATCH($A15, 대여현황!$A:$A, 0)), INDEX(대여현황!D:D, MATCH($A15, 대여현황!$A:$A, 0)), "")</f>
        <v/>
      </c>
      <c r="E15" s="10" t="str">
        <f>IF(ISNUMBER(MATCH($A15, 대여현황!$A:$A, 0)), INDEX(대여현황!E:E, MATCH($A15, 대여현황!$A:$A, 0)), "")</f>
        <v/>
      </c>
      <c r="F15" s="10" t="str">
        <f>IF(ISNUMBER(MATCH($A15, 대여현황!$A:$A, 0)), INDEX(대여현황!F:F, MATCH($A15, 대여현황!$A:$A, 0)), "-")</f>
        <v>-</v>
      </c>
    </row>
    <row r="16" spans="1:18" ht="20" customHeight="1">
      <c r="A16" s="15">
        <v>124</v>
      </c>
      <c r="B16" s="16" t="s">
        <v>364</v>
      </c>
      <c r="C16" s="9" t="str">
        <f>IF(ISNUMBER(MATCH($A16, 대여현황!$A:$A, 0)), INDEX(대여현황!C:C, MATCH($A16, 대여현황!$A:$A, 0)), "")</f>
        <v/>
      </c>
      <c r="D16" s="9" t="str">
        <f>IF(ISNUMBER(MATCH($A16, 대여현황!$A:$A, 0)), INDEX(대여현황!D:D, MATCH($A16, 대여현황!$A:$A, 0)), "")</f>
        <v/>
      </c>
      <c r="E16" s="10" t="str">
        <f>IF(ISNUMBER(MATCH($A16, 대여현황!$A:$A, 0)), INDEX(대여현황!E:E, MATCH($A16, 대여현황!$A:$A, 0)), "")</f>
        <v/>
      </c>
      <c r="F16" s="10" t="str">
        <f>IF(ISNUMBER(MATCH($A16, 대여현황!$A:$A, 0)), INDEX(대여현황!F:F, MATCH($A16, 대여현황!$A:$A, 0)), "-")</f>
        <v>-</v>
      </c>
    </row>
    <row r="17" spans="1:6" ht="20" customHeight="1">
      <c r="A17" s="9">
        <v>125</v>
      </c>
      <c r="B17" s="3" t="s">
        <v>275</v>
      </c>
      <c r="C17" s="9" t="str">
        <f>IF(ISNUMBER(MATCH($A17, 대여현황!$A:$A, 0)), INDEX(대여현황!C:C, MATCH($A17, 대여현황!$A:$A, 0)), "")</f>
        <v/>
      </c>
      <c r="D17" s="9" t="str">
        <f>IF(ISNUMBER(MATCH($A17, 대여현황!$A:$A, 0)), INDEX(대여현황!D:D, MATCH($A17, 대여현황!$A:$A, 0)), "")</f>
        <v/>
      </c>
      <c r="E17" s="10" t="str">
        <f>IF(ISNUMBER(MATCH($A17, 대여현황!$A:$A, 0)), INDEX(대여현황!E:E, MATCH($A17, 대여현황!$A:$A, 0)), "")</f>
        <v/>
      </c>
      <c r="F17" s="10" t="str">
        <f>IF(ISNUMBER(MATCH($A17, 대여현황!$A:$A, 0)), INDEX(대여현황!F:F, MATCH($A17, 대여현황!$A:$A, 0)), "-")</f>
        <v>-</v>
      </c>
    </row>
    <row r="18" spans="1:6" ht="20" customHeight="1">
      <c r="A18" s="9">
        <v>126</v>
      </c>
      <c r="B18" s="3" t="s">
        <v>275</v>
      </c>
      <c r="C18" s="9" t="str">
        <f>IF(ISNUMBER(MATCH($A18, 대여현황!$A:$A, 0)), INDEX(대여현황!C:C, MATCH($A18, 대여현황!$A:$A, 0)), "")</f>
        <v/>
      </c>
      <c r="D18" s="9" t="str">
        <f>IF(ISNUMBER(MATCH($A18, 대여현황!$A:$A, 0)), INDEX(대여현황!D:D, MATCH($A18, 대여현황!$A:$A, 0)), "")</f>
        <v/>
      </c>
      <c r="E18" s="10" t="str">
        <f>IF(ISNUMBER(MATCH($A18, 대여현황!$A:$A, 0)), INDEX(대여현황!E:E, MATCH($A18, 대여현황!$A:$A, 0)), "")</f>
        <v/>
      </c>
      <c r="F18" s="10" t="str">
        <f>IF(ISNUMBER(MATCH($A18, 대여현황!$A:$A, 0)), INDEX(대여현황!F:F, MATCH($A18, 대여현황!$A:$A, 0)), "-")</f>
        <v>-</v>
      </c>
    </row>
    <row r="19" spans="1:6" ht="20" customHeight="1">
      <c r="A19" s="9">
        <v>127</v>
      </c>
      <c r="B19" s="3" t="s">
        <v>276</v>
      </c>
      <c r="C19" s="9" t="str">
        <f>IF(ISNUMBER(MATCH($A19, 대여현황!$A:$A, 0)), INDEX(대여현황!C:C, MATCH($A19, 대여현황!$A:$A, 0)), "")</f>
        <v/>
      </c>
      <c r="D19" s="9" t="str">
        <f>IF(ISNUMBER(MATCH($A19, 대여현황!$A:$A, 0)), INDEX(대여현황!D:D, MATCH($A19, 대여현황!$A:$A, 0)), "")</f>
        <v/>
      </c>
      <c r="E19" s="10" t="str">
        <f>IF(ISNUMBER(MATCH($A19, 대여현황!$A:$A, 0)), INDEX(대여현황!E:E, MATCH($A19, 대여현황!$A:$A, 0)), "")</f>
        <v/>
      </c>
      <c r="F19" s="10" t="str">
        <f>IF(ISNUMBER(MATCH($A19, 대여현황!$A:$A, 0)), INDEX(대여현황!F:F, MATCH($A19, 대여현황!$A:$A, 0)), "-")</f>
        <v>-</v>
      </c>
    </row>
    <row r="20" spans="1:6" ht="20" customHeight="1">
      <c r="A20" s="18">
        <v>128</v>
      </c>
      <c r="B20" s="7" t="s">
        <v>37</v>
      </c>
      <c r="C20" s="9" t="str">
        <f>IF(ISNUMBER(MATCH($A20, 대여현황!$A:$A, 0)), INDEX(대여현황!C:C, MATCH($A20, 대여현황!$A:$A, 0)), "")</f>
        <v/>
      </c>
      <c r="D20" s="9" t="str">
        <f>IF(ISNUMBER(MATCH($A20, 대여현황!$A:$A, 0)), INDEX(대여현황!D:D, MATCH($A20, 대여현황!$A:$A, 0)), "")</f>
        <v/>
      </c>
      <c r="E20" s="10" t="str">
        <f>IF(ISNUMBER(MATCH($A20, 대여현황!$A:$A, 0)), INDEX(대여현황!E:E, MATCH($A20, 대여현황!$A:$A, 0)), "")</f>
        <v/>
      </c>
      <c r="F20" s="10" t="str">
        <f>IF(ISNUMBER(MATCH($A20, 대여현황!$A:$A, 0)), INDEX(대여현황!F:F, MATCH($A20, 대여현황!$A:$A, 0)), "-")</f>
        <v>-</v>
      </c>
    </row>
    <row r="21" spans="1:6" ht="20" customHeight="1">
      <c r="A21" s="9">
        <v>129</v>
      </c>
      <c r="B21" s="3" t="s">
        <v>285</v>
      </c>
      <c r="C21" s="9" t="str">
        <f>IF(ISNUMBER(MATCH($A21, 대여현황!$A:$A, 0)), INDEX(대여현황!C:C, MATCH($A21, 대여현황!$A:$A, 0)), "")</f>
        <v/>
      </c>
      <c r="D21" s="9" t="str">
        <f>IF(ISNUMBER(MATCH($A21, 대여현황!$A:$A, 0)), INDEX(대여현황!D:D, MATCH($A21, 대여현황!$A:$A, 0)), "")</f>
        <v/>
      </c>
      <c r="E21" s="10" t="str">
        <f>IF(ISNUMBER(MATCH($A21, 대여현황!$A:$A, 0)), INDEX(대여현황!E:E, MATCH($A21, 대여현황!$A:$A, 0)), "")</f>
        <v/>
      </c>
      <c r="F21" s="10" t="str">
        <f>IF(ISNUMBER(MATCH($A21, 대여현황!$A:$A, 0)), INDEX(대여현황!F:F, MATCH($A21, 대여현황!$A:$A, 0)), "-")</f>
        <v>-</v>
      </c>
    </row>
    <row r="22" spans="1:6" ht="20" customHeight="1">
      <c r="A22" s="9">
        <v>130</v>
      </c>
      <c r="B22" s="3" t="s">
        <v>285</v>
      </c>
      <c r="C22" s="9" t="str">
        <f>IF(ISNUMBER(MATCH($A22, 대여현황!$A:$A, 0)), INDEX(대여현황!C:C, MATCH($A22, 대여현황!$A:$A, 0)), "")</f>
        <v/>
      </c>
      <c r="D22" s="9" t="str">
        <f>IF(ISNUMBER(MATCH($A22, 대여현황!$A:$A, 0)), INDEX(대여현황!D:D, MATCH($A22, 대여현황!$A:$A, 0)), "")</f>
        <v/>
      </c>
      <c r="E22" s="10" t="str">
        <f>IF(ISNUMBER(MATCH($A22, 대여현황!$A:$A, 0)), INDEX(대여현황!E:E, MATCH($A22, 대여현황!$A:$A, 0)), "")</f>
        <v/>
      </c>
      <c r="F22" s="10" t="str">
        <f>IF(ISNUMBER(MATCH($A22, 대여현황!$A:$A, 0)), INDEX(대여현황!F:F, MATCH($A22, 대여현황!$A:$A, 0)), "-")</f>
        <v>-</v>
      </c>
    </row>
    <row r="23" spans="1:6" ht="20" customHeight="1">
      <c r="A23" s="9">
        <v>131</v>
      </c>
      <c r="B23" s="3" t="s">
        <v>48</v>
      </c>
      <c r="C23" s="9" t="str">
        <f>IF(ISNUMBER(MATCH($A23, 대여현황!$A:$A, 0)), INDEX(대여현황!C:C, MATCH($A23, 대여현황!$A:$A, 0)), "")</f>
        <v/>
      </c>
      <c r="D23" s="9" t="str">
        <f>IF(ISNUMBER(MATCH($A23, 대여현황!$A:$A, 0)), INDEX(대여현황!D:D, MATCH($A23, 대여현황!$A:$A, 0)), "")</f>
        <v/>
      </c>
      <c r="E23" s="10" t="str">
        <f>IF(ISNUMBER(MATCH($A23, 대여현황!$A:$A, 0)), INDEX(대여현황!E:E, MATCH($A23, 대여현황!$A:$A, 0)), "")</f>
        <v/>
      </c>
      <c r="F23" s="10" t="str">
        <f>IF(ISNUMBER(MATCH($A23, 대여현황!$A:$A, 0)), INDEX(대여현황!F:F, MATCH($A23, 대여현황!$A:$A, 0)), "-")</f>
        <v>-</v>
      </c>
    </row>
    <row r="24" spans="1:6" ht="20" customHeight="1">
      <c r="A24" s="9">
        <v>132</v>
      </c>
      <c r="B24" s="3" t="s">
        <v>48</v>
      </c>
      <c r="C24" s="9" t="str">
        <f>IF(ISNUMBER(MATCH($A24, 대여현황!$A:$A, 0)), INDEX(대여현황!C:C, MATCH($A24, 대여현황!$A:$A, 0)), "")</f>
        <v/>
      </c>
      <c r="D24" s="9" t="str">
        <f>IF(ISNUMBER(MATCH($A24, 대여현황!$A:$A, 0)), INDEX(대여현황!D:D, MATCH($A24, 대여현황!$A:$A, 0)), "")</f>
        <v/>
      </c>
      <c r="E24" s="10" t="str">
        <f>IF(ISNUMBER(MATCH($A24, 대여현황!$A:$A, 0)), INDEX(대여현황!E:E, MATCH($A24, 대여현황!$A:$A, 0)), "")</f>
        <v/>
      </c>
      <c r="F24" s="10" t="str">
        <f>IF(ISNUMBER(MATCH($A24, 대여현황!$A:$A, 0)), INDEX(대여현황!F:F, MATCH($A24, 대여현황!$A:$A, 0)), "-")</f>
        <v>-</v>
      </c>
    </row>
    <row r="25" spans="1:6" ht="20" customHeight="1">
      <c r="A25" s="9">
        <v>133</v>
      </c>
      <c r="B25" s="3" t="s">
        <v>36</v>
      </c>
      <c r="C25" s="9" t="str">
        <f>IF(ISNUMBER(MATCH($A25, 대여현황!$A:$A, 0)), INDEX(대여현황!C:C, MATCH($A25, 대여현황!$A:$A, 0)), "")</f>
        <v/>
      </c>
      <c r="D25" s="9" t="str">
        <f>IF(ISNUMBER(MATCH($A25, 대여현황!$A:$A, 0)), INDEX(대여현황!D:D, MATCH($A25, 대여현황!$A:$A, 0)), "")</f>
        <v/>
      </c>
      <c r="E25" s="10" t="str">
        <f>IF(ISNUMBER(MATCH($A25, 대여현황!$A:$A, 0)), INDEX(대여현황!E:E, MATCH($A25, 대여현황!$A:$A, 0)), "")</f>
        <v/>
      </c>
      <c r="F25" s="10" t="str">
        <f>IF(ISNUMBER(MATCH($A25, 대여현황!$A:$A, 0)), INDEX(대여현황!F:F, MATCH($A25, 대여현황!$A:$A, 0)), "-")</f>
        <v>-</v>
      </c>
    </row>
    <row r="26" spans="1:6" ht="20" customHeight="1">
      <c r="A26" s="9">
        <v>134</v>
      </c>
      <c r="B26" s="3" t="s">
        <v>36</v>
      </c>
      <c r="C26" s="9" t="str">
        <f>IF(ISNUMBER(MATCH($A26, 대여현황!$A:$A, 0)), INDEX(대여현황!C:C, MATCH($A26, 대여현황!$A:$A, 0)), "")</f>
        <v/>
      </c>
      <c r="D26" s="9" t="str">
        <f>IF(ISNUMBER(MATCH($A26, 대여현황!$A:$A, 0)), INDEX(대여현황!D:D, MATCH($A26, 대여현황!$A:$A, 0)), "")</f>
        <v/>
      </c>
      <c r="E26" s="10" t="str">
        <f>IF(ISNUMBER(MATCH($A26, 대여현황!$A:$A, 0)), INDEX(대여현황!E:E, MATCH($A26, 대여현황!$A:$A, 0)), "")</f>
        <v/>
      </c>
      <c r="F26" s="10" t="str">
        <f>IF(ISNUMBER(MATCH($A26, 대여현황!$A:$A, 0)), INDEX(대여현황!F:F, MATCH($A26, 대여현황!$A:$A, 0)), "-")</f>
        <v>-</v>
      </c>
    </row>
    <row r="27" spans="1:6" ht="20" customHeight="1">
      <c r="A27" s="9">
        <v>135</v>
      </c>
      <c r="B27" s="3" t="s">
        <v>42</v>
      </c>
      <c r="C27" s="9" t="str">
        <f>IF(ISNUMBER(MATCH($A27, 대여현황!$A:$A, 0)), INDEX(대여현황!C:C, MATCH($A27, 대여현황!$A:$A, 0)), "")</f>
        <v/>
      </c>
      <c r="D27" s="9" t="str">
        <f>IF(ISNUMBER(MATCH($A27, 대여현황!$A:$A, 0)), INDEX(대여현황!D:D, MATCH($A27, 대여현황!$A:$A, 0)), "")</f>
        <v/>
      </c>
      <c r="E27" s="10" t="str">
        <f>IF(ISNUMBER(MATCH($A27, 대여현황!$A:$A, 0)), INDEX(대여현황!E:E, MATCH($A27, 대여현황!$A:$A, 0)), "")</f>
        <v/>
      </c>
      <c r="F27" s="10" t="str">
        <f>IF(ISNUMBER(MATCH($A27, 대여현황!$A:$A, 0)), INDEX(대여현황!F:F, MATCH($A27, 대여현황!$A:$A, 0)), "-")</f>
        <v>-</v>
      </c>
    </row>
    <row r="28" spans="1:6" ht="20" customHeight="1">
      <c r="A28" s="9">
        <v>136</v>
      </c>
      <c r="B28" s="3" t="s">
        <v>42</v>
      </c>
      <c r="C28" s="9" t="str">
        <f>IF(ISNUMBER(MATCH($A28, 대여현황!$A:$A, 0)), INDEX(대여현황!C:C, MATCH($A28, 대여현황!$A:$A, 0)), "")</f>
        <v/>
      </c>
      <c r="D28" s="9" t="str">
        <f>IF(ISNUMBER(MATCH($A28, 대여현황!$A:$A, 0)), INDEX(대여현황!D:D, MATCH($A28, 대여현황!$A:$A, 0)), "")</f>
        <v/>
      </c>
      <c r="E28" s="10" t="str">
        <f>IF(ISNUMBER(MATCH($A28, 대여현황!$A:$A, 0)), INDEX(대여현황!E:E, MATCH($A28, 대여현황!$A:$A, 0)), "")</f>
        <v/>
      </c>
      <c r="F28" s="10" t="str">
        <f>IF(ISNUMBER(MATCH($A28, 대여현황!$A:$A, 0)), INDEX(대여현황!F:F, MATCH($A28, 대여현황!$A:$A, 0)), "-")</f>
        <v>-</v>
      </c>
    </row>
    <row r="29" spans="1:6" ht="20" customHeight="1">
      <c r="A29" s="9">
        <v>137</v>
      </c>
      <c r="B29" s="3" t="s">
        <v>43</v>
      </c>
      <c r="C29" s="9" t="str">
        <f>IF(ISNUMBER(MATCH($A29, 대여현황!$A:$A, 0)), INDEX(대여현황!C:C, MATCH($A29, 대여현황!$A:$A, 0)), "")</f>
        <v/>
      </c>
      <c r="D29" s="9" t="str">
        <f>IF(ISNUMBER(MATCH($A29, 대여현황!$A:$A, 0)), INDEX(대여현황!D:D, MATCH($A29, 대여현황!$A:$A, 0)), "")</f>
        <v/>
      </c>
      <c r="E29" s="10" t="str">
        <f>IF(ISNUMBER(MATCH($A29, 대여현황!$A:$A, 0)), INDEX(대여현황!E:E, MATCH($A29, 대여현황!$A:$A, 0)), "")</f>
        <v/>
      </c>
      <c r="F29" s="10" t="str">
        <f>IF(ISNUMBER(MATCH($A29, 대여현황!$A:$A, 0)), INDEX(대여현황!F:F, MATCH($A29, 대여현황!$A:$A, 0)), "-")</f>
        <v>-</v>
      </c>
    </row>
    <row r="30" spans="1:6" ht="20" customHeight="1">
      <c r="A30" s="9">
        <v>138</v>
      </c>
      <c r="B30" s="3" t="s">
        <v>43</v>
      </c>
      <c r="C30" s="9" t="str">
        <f>IF(ISNUMBER(MATCH($A30, 대여현황!$A:$A, 0)), INDEX(대여현황!C:C, MATCH($A30, 대여현황!$A:$A, 0)), "")</f>
        <v/>
      </c>
      <c r="D30" s="9" t="str">
        <f>IF(ISNUMBER(MATCH($A30, 대여현황!$A:$A, 0)), INDEX(대여현황!D:D, MATCH($A30, 대여현황!$A:$A, 0)), "")</f>
        <v/>
      </c>
      <c r="E30" s="10" t="str">
        <f>IF(ISNUMBER(MATCH($A30, 대여현황!$A:$A, 0)), INDEX(대여현황!E:E, MATCH($A30, 대여현황!$A:$A, 0)), "")</f>
        <v/>
      </c>
      <c r="F30" s="10" t="str">
        <f>IF(ISNUMBER(MATCH($A30, 대여현황!$A:$A, 0)), INDEX(대여현황!F:F, MATCH($A30, 대여현황!$A:$A, 0)), "-")</f>
        <v>-</v>
      </c>
    </row>
    <row r="31" spans="1:6" ht="20" customHeight="1">
      <c r="A31" s="9">
        <v>139</v>
      </c>
      <c r="B31" s="3" t="s">
        <v>44</v>
      </c>
      <c r="C31" s="9" t="str">
        <f>IF(ISNUMBER(MATCH($A31, 대여현황!$A:$A, 0)), INDEX(대여현황!C:C, MATCH($A31, 대여현황!$A:$A, 0)), "")</f>
        <v/>
      </c>
      <c r="D31" s="9" t="str">
        <f>IF(ISNUMBER(MATCH($A31, 대여현황!$A:$A, 0)), INDEX(대여현황!D:D, MATCH($A31, 대여현황!$A:$A, 0)), "")</f>
        <v/>
      </c>
      <c r="E31" s="10" t="str">
        <f>IF(ISNUMBER(MATCH($A31, 대여현황!$A:$A, 0)), INDEX(대여현황!E:E, MATCH($A31, 대여현황!$A:$A, 0)), "")</f>
        <v/>
      </c>
      <c r="F31" s="10" t="str">
        <f>IF(ISNUMBER(MATCH($A31, 대여현황!$A:$A, 0)), INDEX(대여현황!F:F, MATCH($A31, 대여현황!$A:$A, 0)), "-")</f>
        <v>-</v>
      </c>
    </row>
    <row r="32" spans="1:6" ht="20" customHeight="1">
      <c r="A32" s="9">
        <v>140</v>
      </c>
      <c r="B32" s="3" t="s">
        <v>44</v>
      </c>
      <c r="C32" s="9" t="str">
        <f>IF(ISNUMBER(MATCH($A32, 대여현황!$A:$A, 0)), INDEX(대여현황!C:C, MATCH($A32, 대여현황!$A:$A, 0)), "")</f>
        <v/>
      </c>
      <c r="D32" s="9" t="str">
        <f>IF(ISNUMBER(MATCH($A32, 대여현황!$A:$A, 0)), INDEX(대여현황!D:D, MATCH($A32, 대여현황!$A:$A, 0)), "")</f>
        <v/>
      </c>
      <c r="E32" s="10" t="str">
        <f>IF(ISNUMBER(MATCH($A32, 대여현황!$A:$A, 0)), INDEX(대여현황!E:E, MATCH($A32, 대여현황!$A:$A, 0)), "")</f>
        <v/>
      </c>
      <c r="F32" s="10" t="str">
        <f>IF(ISNUMBER(MATCH($A32, 대여현황!$A:$A, 0)), INDEX(대여현황!F:F, MATCH($A32, 대여현황!$A:$A, 0)), "-")</f>
        <v>-</v>
      </c>
    </row>
    <row r="33" spans="1:6" ht="20" customHeight="1">
      <c r="A33" s="9">
        <v>141</v>
      </c>
      <c r="B33" s="3" t="s">
        <v>49</v>
      </c>
      <c r="C33" s="9" t="str">
        <f>IF(ISNUMBER(MATCH($A33, 대여현황!$A:$A, 0)), INDEX(대여현황!C:C, MATCH($A33, 대여현황!$A:$A, 0)), "")</f>
        <v/>
      </c>
      <c r="D33" s="9" t="str">
        <f>IF(ISNUMBER(MATCH($A33, 대여현황!$A:$A, 0)), INDEX(대여현황!D:D, MATCH($A33, 대여현황!$A:$A, 0)), "")</f>
        <v/>
      </c>
      <c r="E33" s="10" t="str">
        <f>IF(ISNUMBER(MATCH($A33, 대여현황!$A:$A, 0)), INDEX(대여현황!E:E, MATCH($A33, 대여현황!$A:$A, 0)), "")</f>
        <v/>
      </c>
      <c r="F33" s="10" t="str">
        <f>IF(ISNUMBER(MATCH($A33, 대여현황!$A:$A, 0)), INDEX(대여현황!F:F, MATCH($A33, 대여현황!$A:$A, 0)), "-")</f>
        <v>-</v>
      </c>
    </row>
    <row r="34" spans="1:6" ht="20" customHeight="1">
      <c r="A34" s="9">
        <v>142</v>
      </c>
      <c r="B34" s="3" t="s">
        <v>49</v>
      </c>
      <c r="C34" s="9" t="str">
        <f>IF(ISNUMBER(MATCH($A34, 대여현황!$A:$A, 0)), INDEX(대여현황!C:C, MATCH($A34, 대여현황!$A:$A, 0)), "")</f>
        <v/>
      </c>
      <c r="D34" s="9" t="str">
        <f>IF(ISNUMBER(MATCH($A34, 대여현황!$A:$A, 0)), INDEX(대여현황!D:D, MATCH($A34, 대여현황!$A:$A, 0)), "")</f>
        <v/>
      </c>
      <c r="E34" s="10" t="str">
        <f>IF(ISNUMBER(MATCH($A34, 대여현황!$A:$A, 0)), INDEX(대여현황!E:E, MATCH($A34, 대여현황!$A:$A, 0)), "")</f>
        <v/>
      </c>
      <c r="F34" s="10" t="str">
        <f>IF(ISNUMBER(MATCH($A34, 대여현황!$A:$A, 0)), INDEX(대여현황!F:F, MATCH($A34, 대여현황!$A:$A, 0)), "-")</f>
        <v>-</v>
      </c>
    </row>
    <row r="35" spans="1:6" ht="20" customHeight="1">
      <c r="A35" s="9">
        <v>143</v>
      </c>
      <c r="B35" s="3" t="s">
        <v>166</v>
      </c>
      <c r="C35" s="9" t="str">
        <f>IF(ISNUMBER(MATCH($A35, 대여현황!$A:$A, 0)), INDEX(대여현황!C:C, MATCH($A35, 대여현황!$A:$A, 0)), "")</f>
        <v/>
      </c>
      <c r="D35" s="9" t="str">
        <f>IF(ISNUMBER(MATCH($A35, 대여현황!$A:$A, 0)), INDEX(대여현황!D:D, MATCH($A35, 대여현황!$A:$A, 0)), "")</f>
        <v/>
      </c>
      <c r="E35" s="10" t="str">
        <f>IF(ISNUMBER(MATCH($A35, 대여현황!$A:$A, 0)), INDEX(대여현황!E:E, MATCH($A35, 대여현황!$A:$A, 0)), "")</f>
        <v/>
      </c>
      <c r="F35" s="10" t="str">
        <f>IF(ISNUMBER(MATCH($A35, 대여현황!$A:$A, 0)), INDEX(대여현황!F:F, MATCH($A35, 대여현황!$A:$A, 0)), "-")</f>
        <v>-</v>
      </c>
    </row>
    <row r="36" spans="1:6" ht="20" customHeight="1">
      <c r="A36" s="9">
        <v>144</v>
      </c>
      <c r="B36" s="3" t="s">
        <v>166</v>
      </c>
      <c r="C36" s="9" t="str">
        <f>IF(ISNUMBER(MATCH($A36, 대여현황!$A:$A, 0)), INDEX(대여현황!C:C, MATCH($A36, 대여현황!$A:$A, 0)), "")</f>
        <v/>
      </c>
      <c r="D36" s="9" t="str">
        <f>IF(ISNUMBER(MATCH($A36, 대여현황!$A:$A, 0)), INDEX(대여현황!D:D, MATCH($A36, 대여현황!$A:$A, 0)), "")</f>
        <v/>
      </c>
      <c r="E36" s="10" t="str">
        <f>IF(ISNUMBER(MATCH($A36, 대여현황!$A:$A, 0)), INDEX(대여현황!E:E, MATCH($A36, 대여현황!$A:$A, 0)), "")</f>
        <v/>
      </c>
      <c r="F36" s="10" t="str">
        <f>IF(ISNUMBER(MATCH($A36, 대여현황!$A:$A, 0)), INDEX(대여현황!F:F, MATCH($A36, 대여현황!$A:$A, 0)), "-")</f>
        <v>-</v>
      </c>
    </row>
    <row r="37" spans="1:6" ht="20" customHeight="1">
      <c r="A37" s="9">
        <v>145</v>
      </c>
      <c r="B37" s="3" t="s">
        <v>288</v>
      </c>
      <c r="C37" s="9" t="str">
        <f>IF(ISNUMBER(MATCH($A37, 대여현황!$A:$A, 0)), INDEX(대여현황!C:C, MATCH($A37, 대여현황!$A:$A, 0)), "")</f>
        <v/>
      </c>
      <c r="D37" s="9" t="str">
        <f>IF(ISNUMBER(MATCH($A37, 대여현황!$A:$A, 0)), INDEX(대여현황!D:D, MATCH($A37, 대여현황!$A:$A, 0)), "")</f>
        <v/>
      </c>
      <c r="E37" s="10" t="str">
        <f>IF(ISNUMBER(MATCH($A37, 대여현황!$A:$A, 0)), INDEX(대여현황!E:E, MATCH($A37, 대여현황!$A:$A, 0)), "")</f>
        <v/>
      </c>
      <c r="F37" s="10" t="str">
        <f>IF(ISNUMBER(MATCH($A37, 대여현황!$A:$A, 0)), INDEX(대여현황!F:F, MATCH($A37, 대여현황!$A:$A, 0)), "-")</f>
        <v>-</v>
      </c>
    </row>
    <row r="38" spans="1:6" ht="20" customHeight="1">
      <c r="A38" s="9">
        <v>146</v>
      </c>
      <c r="B38" s="3" t="s">
        <v>317</v>
      </c>
      <c r="C38" s="9" t="str">
        <f>IF(ISNUMBER(MATCH($A38, 대여현황!$A:$A, 0)), INDEX(대여현황!C:C, MATCH($A38, 대여현황!$A:$A, 0)), "")</f>
        <v/>
      </c>
      <c r="D38" s="9" t="str">
        <f>IF(ISNUMBER(MATCH($A38, 대여현황!$A:$A, 0)), INDEX(대여현황!D:D, MATCH($A38, 대여현황!$A:$A, 0)), "")</f>
        <v/>
      </c>
      <c r="E38" s="10" t="str">
        <f>IF(ISNUMBER(MATCH($A38, 대여현황!$A:$A, 0)), INDEX(대여현황!E:E, MATCH($A38, 대여현황!$A:$A, 0)), "")</f>
        <v/>
      </c>
      <c r="F38" s="10" t="str">
        <f>IF(ISNUMBER(MATCH($A38, 대여현황!$A:$A, 0)), INDEX(대여현황!F:F, MATCH($A38, 대여현황!$A:$A, 0)), "-")</f>
        <v>-</v>
      </c>
    </row>
    <row r="39" spans="1:6" ht="20" customHeight="1">
      <c r="A39" s="9">
        <v>147</v>
      </c>
      <c r="B39" s="3" t="s">
        <v>317</v>
      </c>
      <c r="C39" s="9" t="str">
        <f>IF(ISNUMBER(MATCH($A39, 대여현황!$A:$A, 0)), INDEX(대여현황!C:C, MATCH($A39, 대여현황!$A:$A, 0)), "")</f>
        <v/>
      </c>
      <c r="D39" s="9" t="str">
        <f>IF(ISNUMBER(MATCH($A39, 대여현황!$A:$A, 0)), INDEX(대여현황!D:D, MATCH($A39, 대여현황!$A:$A, 0)), "")</f>
        <v/>
      </c>
      <c r="E39" s="10" t="str">
        <f>IF(ISNUMBER(MATCH($A39, 대여현황!$A:$A, 0)), INDEX(대여현황!E:E, MATCH($A39, 대여현황!$A:$A, 0)), "")</f>
        <v/>
      </c>
      <c r="F39" s="10" t="str">
        <f>IF(ISNUMBER(MATCH($A39, 대여현황!$A:$A, 0)), INDEX(대여현황!F:F, MATCH($A39, 대여현황!$A:$A, 0)), "-")</f>
        <v>-</v>
      </c>
    </row>
    <row r="40" spans="1:6" ht="20" customHeight="1">
      <c r="A40" s="9">
        <v>148</v>
      </c>
      <c r="B40" s="3" t="s">
        <v>224</v>
      </c>
      <c r="C40" s="9" t="str">
        <f>IF(ISNUMBER(MATCH($A40, 대여현황!$A:$A, 0)), INDEX(대여현황!C:C, MATCH($A40, 대여현황!$A:$A, 0)), "")</f>
        <v/>
      </c>
      <c r="D40" s="9" t="str">
        <f>IF(ISNUMBER(MATCH($A40, 대여현황!$A:$A, 0)), INDEX(대여현황!D:D, MATCH($A40, 대여현황!$A:$A, 0)), "")</f>
        <v/>
      </c>
      <c r="E40" s="10" t="str">
        <f>IF(ISNUMBER(MATCH($A40, 대여현황!$A:$A, 0)), INDEX(대여현황!E:E, MATCH($A40, 대여현황!$A:$A, 0)), "")</f>
        <v/>
      </c>
      <c r="F40" s="10" t="str">
        <f>IF(ISNUMBER(MATCH($A40, 대여현황!$A:$A, 0)), INDEX(대여현황!F:F, MATCH($A40, 대여현황!$A:$A, 0)), "-")</f>
        <v>-</v>
      </c>
    </row>
    <row r="41" spans="1:6" ht="20" customHeight="1">
      <c r="A41" s="9">
        <v>149</v>
      </c>
      <c r="B41" s="3" t="s">
        <v>50</v>
      </c>
      <c r="C41" s="9" t="str">
        <f>IF(ISNUMBER(MATCH($A41, 대여현황!$A:$A, 0)), INDEX(대여현황!C:C, MATCH($A41, 대여현황!$A:$A, 0)), "")</f>
        <v/>
      </c>
      <c r="D41" s="9" t="str">
        <f>IF(ISNUMBER(MATCH($A41, 대여현황!$A:$A, 0)), INDEX(대여현황!D:D, MATCH($A41, 대여현황!$A:$A, 0)), "")</f>
        <v/>
      </c>
      <c r="E41" s="10" t="str">
        <f>IF(ISNUMBER(MATCH($A41, 대여현황!$A:$A, 0)), INDEX(대여현황!E:E, MATCH($A41, 대여현황!$A:$A, 0)), "")</f>
        <v/>
      </c>
      <c r="F41" s="10" t="str">
        <f>IF(ISNUMBER(MATCH($A41, 대여현황!$A:$A, 0)), INDEX(대여현황!F:F, MATCH($A41, 대여현황!$A:$A, 0)), "-")</f>
        <v>-</v>
      </c>
    </row>
    <row r="42" spans="1:6" ht="20" customHeight="1">
      <c r="A42" s="9">
        <v>150</v>
      </c>
      <c r="B42" s="3" t="s">
        <v>312</v>
      </c>
      <c r="C42" s="9" t="str">
        <f>IF(ISNUMBER(MATCH($A42, 대여현황!$A:$A, 0)), INDEX(대여현황!C:C, MATCH($A42, 대여현황!$A:$A, 0)), "")</f>
        <v/>
      </c>
      <c r="D42" s="9" t="str">
        <f>IF(ISNUMBER(MATCH($A42, 대여현황!$A:$A, 0)), INDEX(대여현황!D:D, MATCH($A42, 대여현황!$A:$A, 0)), "")</f>
        <v/>
      </c>
      <c r="E42" s="10" t="str">
        <f>IF(ISNUMBER(MATCH($A42, 대여현황!$A:$A, 0)), INDEX(대여현황!E:E, MATCH($A42, 대여현황!$A:$A, 0)), "")</f>
        <v/>
      </c>
      <c r="F42" s="10" t="str">
        <f>IF(ISNUMBER(MATCH($A42, 대여현황!$A:$A, 0)), INDEX(대여현황!F:F, MATCH($A42, 대여현황!$A:$A, 0)), "-")</f>
        <v>-</v>
      </c>
    </row>
    <row r="43" spans="1:6" ht="20" customHeight="1">
      <c r="A43" s="9">
        <v>151</v>
      </c>
      <c r="B43" s="3" t="s">
        <v>212</v>
      </c>
      <c r="C43" s="9" t="str">
        <f>IF(ISNUMBER(MATCH($A43, 대여현황!$A:$A, 0)), INDEX(대여현황!C:C, MATCH($A43, 대여현황!$A:$A, 0)), "")</f>
        <v/>
      </c>
      <c r="D43" s="9" t="str">
        <f>IF(ISNUMBER(MATCH($A43, 대여현황!$A:$A, 0)), INDEX(대여현황!D:D, MATCH($A43, 대여현황!$A:$A, 0)), "")</f>
        <v/>
      </c>
      <c r="E43" s="10" t="str">
        <f>IF(ISNUMBER(MATCH($A43, 대여현황!$A:$A, 0)), INDEX(대여현황!E:E, MATCH($A43, 대여현황!$A:$A, 0)), "")</f>
        <v/>
      </c>
      <c r="F43" s="10" t="str">
        <f>IF(ISNUMBER(MATCH($A43, 대여현황!$A:$A, 0)), INDEX(대여현황!F:F, MATCH($A43, 대여현황!$A:$A, 0)), "-")</f>
        <v>-</v>
      </c>
    </row>
    <row r="44" spans="1:6" ht="20" customHeight="1">
      <c r="A44" s="15">
        <v>152</v>
      </c>
      <c r="B44" s="16" t="s">
        <v>212</v>
      </c>
      <c r="C44" s="9" t="str">
        <f>IF(ISNUMBER(MATCH($A44, 대여현황!$A:$A, 0)), INDEX(대여현황!C:C, MATCH($A44, 대여현황!$A:$A, 0)), "")</f>
        <v/>
      </c>
      <c r="D44" s="9" t="str">
        <f>IF(ISNUMBER(MATCH($A44, 대여현황!$A:$A, 0)), INDEX(대여현황!D:D, MATCH($A44, 대여현황!$A:$A, 0)), "")</f>
        <v/>
      </c>
      <c r="E44" s="10" t="str">
        <f>IF(ISNUMBER(MATCH($A44, 대여현황!$A:$A, 0)), INDEX(대여현황!E:E, MATCH($A44, 대여현황!$A:$A, 0)), "")</f>
        <v/>
      </c>
      <c r="F44" s="10" t="str">
        <f>IF(ISNUMBER(MATCH($A44, 대여현황!$A:$A, 0)), INDEX(대여현황!F:F, MATCH($A44, 대여현황!$A:$A, 0)), "-")</f>
        <v>-</v>
      </c>
    </row>
    <row r="45" spans="1:6" ht="20" customHeight="1">
      <c r="A45" s="9">
        <v>153</v>
      </c>
      <c r="B45" s="3" t="s">
        <v>214</v>
      </c>
      <c r="C45" s="9" t="str">
        <f>IF(ISNUMBER(MATCH($A45, 대여현황!$A:$A, 0)), INDEX(대여현황!C:C, MATCH($A45, 대여현황!$A:$A, 0)), "")</f>
        <v/>
      </c>
      <c r="D45" s="9" t="str">
        <f>IF(ISNUMBER(MATCH($A45, 대여현황!$A:$A, 0)), INDEX(대여현황!D:D, MATCH($A45, 대여현황!$A:$A, 0)), "")</f>
        <v/>
      </c>
      <c r="E45" s="10" t="str">
        <f>IF(ISNUMBER(MATCH($A45, 대여현황!$A:$A, 0)), INDEX(대여현황!E:E, MATCH($A45, 대여현황!$A:$A, 0)), "")</f>
        <v/>
      </c>
      <c r="F45" s="10" t="str">
        <f>IF(ISNUMBER(MATCH($A45, 대여현황!$A:$A, 0)), INDEX(대여현황!F:F, MATCH($A45, 대여현황!$A:$A, 0)), "-")</f>
        <v>-</v>
      </c>
    </row>
    <row r="46" spans="1:6" ht="20" customHeight="1">
      <c r="A46" s="9">
        <v>154</v>
      </c>
      <c r="B46" s="3" t="s">
        <v>214</v>
      </c>
      <c r="C46" s="9" t="str">
        <f>IF(ISNUMBER(MATCH($A46, 대여현황!$A:$A, 0)), INDEX(대여현황!C:C, MATCH($A46, 대여현황!$A:$A, 0)), "")</f>
        <v/>
      </c>
      <c r="D46" s="9" t="str">
        <f>IF(ISNUMBER(MATCH($A46, 대여현황!$A:$A, 0)), INDEX(대여현황!D:D, MATCH($A46, 대여현황!$A:$A, 0)), "")</f>
        <v/>
      </c>
      <c r="E46" s="10" t="str">
        <f>IF(ISNUMBER(MATCH($A46, 대여현황!$A:$A, 0)), INDEX(대여현황!E:E, MATCH($A46, 대여현황!$A:$A, 0)), "")</f>
        <v/>
      </c>
      <c r="F46" s="10" t="str">
        <f>IF(ISNUMBER(MATCH($A46, 대여현황!$A:$A, 0)), INDEX(대여현황!F:F, MATCH($A46, 대여현황!$A:$A, 0)), "-")</f>
        <v>-</v>
      </c>
    </row>
    <row r="47" spans="1:6" ht="20" customHeight="1">
      <c r="A47" s="9">
        <v>155</v>
      </c>
      <c r="B47" s="3" t="s">
        <v>217</v>
      </c>
      <c r="C47" s="9" t="str">
        <f>IF(ISNUMBER(MATCH($A47, 대여현황!$A:$A, 0)), INDEX(대여현황!C:C, MATCH($A47, 대여현황!$A:$A, 0)), "")</f>
        <v/>
      </c>
      <c r="D47" s="9" t="str">
        <f>IF(ISNUMBER(MATCH($A47, 대여현황!$A:$A, 0)), INDEX(대여현황!D:D, MATCH($A47, 대여현황!$A:$A, 0)), "")</f>
        <v/>
      </c>
      <c r="E47" s="10" t="str">
        <f>IF(ISNUMBER(MATCH($A47, 대여현황!$A:$A, 0)), INDEX(대여현황!E:E, MATCH($A47, 대여현황!$A:$A, 0)), "")</f>
        <v/>
      </c>
      <c r="F47" s="10" t="str">
        <f>IF(ISNUMBER(MATCH($A47, 대여현황!$A:$A, 0)), INDEX(대여현황!F:F, MATCH($A47, 대여현황!$A:$A, 0)), "-")</f>
        <v>-</v>
      </c>
    </row>
    <row r="48" spans="1:6" ht="20" customHeight="1">
      <c r="A48" s="9">
        <v>156</v>
      </c>
      <c r="B48" s="3" t="s">
        <v>217</v>
      </c>
      <c r="C48" s="9" t="str">
        <f>IF(ISNUMBER(MATCH($A48, 대여현황!$A:$A, 0)), INDEX(대여현황!C:C, MATCH($A48, 대여현황!$A:$A, 0)), "")</f>
        <v/>
      </c>
      <c r="D48" s="9" t="str">
        <f>IF(ISNUMBER(MATCH($A48, 대여현황!$A:$A, 0)), INDEX(대여현황!D:D, MATCH($A48, 대여현황!$A:$A, 0)), "")</f>
        <v/>
      </c>
      <c r="E48" s="10" t="str">
        <f>IF(ISNUMBER(MATCH($A48, 대여현황!$A:$A, 0)), INDEX(대여현황!E:E, MATCH($A48, 대여현황!$A:$A, 0)), "")</f>
        <v/>
      </c>
      <c r="F48" s="10" t="str">
        <f>IF(ISNUMBER(MATCH($A48, 대여현황!$A:$A, 0)), INDEX(대여현황!F:F, MATCH($A48, 대여현황!$A:$A, 0)), "-")</f>
        <v>-</v>
      </c>
    </row>
    <row r="49" spans="1:6" ht="20" customHeight="1">
      <c r="A49" s="9">
        <v>157</v>
      </c>
      <c r="B49" s="3" t="s">
        <v>167</v>
      </c>
      <c r="C49" s="9" t="str">
        <f>IF(ISNUMBER(MATCH($A49, 대여현황!$A:$A, 0)), INDEX(대여현황!C:C, MATCH($A49, 대여현황!$A:$A, 0)), "")</f>
        <v/>
      </c>
      <c r="D49" s="9" t="str">
        <f>IF(ISNUMBER(MATCH($A49, 대여현황!$A:$A, 0)), INDEX(대여현황!D:D, MATCH($A49, 대여현황!$A:$A, 0)), "")</f>
        <v/>
      </c>
      <c r="E49" s="10" t="str">
        <f>IF(ISNUMBER(MATCH($A49, 대여현황!$A:$A, 0)), INDEX(대여현황!E:E, MATCH($A49, 대여현황!$A:$A, 0)), "")</f>
        <v/>
      </c>
      <c r="F49" s="10" t="str">
        <f>IF(ISNUMBER(MATCH($A49, 대여현황!$A:$A, 0)), INDEX(대여현황!F:F, MATCH($A49, 대여현황!$A:$A, 0)), "-")</f>
        <v>-</v>
      </c>
    </row>
    <row r="50" spans="1:6" ht="20" customHeight="1">
      <c r="A50" s="9">
        <v>158</v>
      </c>
      <c r="B50" s="3" t="s">
        <v>167</v>
      </c>
      <c r="C50" s="9" t="str">
        <f>IF(ISNUMBER(MATCH($A50, 대여현황!$A:$A, 0)), INDEX(대여현황!C:C, MATCH($A50, 대여현황!$A:$A, 0)), "")</f>
        <v/>
      </c>
      <c r="D50" s="9" t="str">
        <f>IF(ISNUMBER(MATCH($A50, 대여현황!$A:$A, 0)), INDEX(대여현황!D:D, MATCH($A50, 대여현황!$A:$A, 0)), "")</f>
        <v/>
      </c>
      <c r="E50" s="10" t="str">
        <f>IF(ISNUMBER(MATCH($A50, 대여현황!$A:$A, 0)), INDEX(대여현황!E:E, MATCH($A50, 대여현황!$A:$A, 0)), "")</f>
        <v/>
      </c>
      <c r="F50" s="10" t="str">
        <f>IF(ISNUMBER(MATCH($A50, 대여현황!$A:$A, 0)), INDEX(대여현황!F:F, MATCH($A50, 대여현황!$A:$A, 0)), "-")</f>
        <v>-</v>
      </c>
    </row>
    <row r="51" spans="1:6" ht="20" customHeight="1">
      <c r="A51" s="9">
        <v>159</v>
      </c>
      <c r="B51" s="3" t="s">
        <v>243</v>
      </c>
      <c r="C51" s="9" t="str">
        <f>IF(ISNUMBER(MATCH($A51, 대여현황!$A:$A, 0)), INDEX(대여현황!C:C, MATCH($A51, 대여현황!$A:$A, 0)), "")</f>
        <v/>
      </c>
      <c r="D51" s="9" t="str">
        <f>IF(ISNUMBER(MATCH($A51, 대여현황!$A:$A, 0)), INDEX(대여현황!D:D, MATCH($A51, 대여현황!$A:$A, 0)), "")</f>
        <v/>
      </c>
      <c r="E51" s="10" t="str">
        <f>IF(ISNUMBER(MATCH($A51, 대여현황!$A:$A, 0)), INDEX(대여현황!E:E, MATCH($A51, 대여현황!$A:$A, 0)), "")</f>
        <v/>
      </c>
      <c r="F51" s="10" t="str">
        <f>IF(ISNUMBER(MATCH($A51, 대여현황!$A:$A, 0)), INDEX(대여현황!F:F, MATCH($A51, 대여현황!$A:$A, 0)), "-")</f>
        <v>-</v>
      </c>
    </row>
    <row r="52" spans="1:6" ht="20" customHeight="1">
      <c r="A52" s="9">
        <v>160</v>
      </c>
      <c r="B52" s="3" t="s">
        <v>31</v>
      </c>
      <c r="C52" s="9" t="str">
        <f>IF(ISNUMBER(MATCH($A52, 대여현황!$A:$A, 0)), INDEX(대여현황!C:C, MATCH($A52, 대여현황!$A:$A, 0)), "")</f>
        <v/>
      </c>
      <c r="D52" s="9" t="str">
        <f>IF(ISNUMBER(MATCH($A52, 대여현황!$A:$A, 0)), INDEX(대여현황!D:D, MATCH($A52, 대여현황!$A:$A, 0)), "")</f>
        <v/>
      </c>
      <c r="E52" s="10" t="str">
        <f>IF(ISNUMBER(MATCH($A52, 대여현황!$A:$A, 0)), INDEX(대여현황!E:E, MATCH($A52, 대여현황!$A:$A, 0)), "")</f>
        <v/>
      </c>
      <c r="F52" s="10" t="str">
        <f>IF(ISNUMBER(MATCH($A52, 대여현황!$A:$A, 0)), INDEX(대여현황!F:F, MATCH($A52, 대여현황!$A:$A, 0)), "-")</f>
        <v>-</v>
      </c>
    </row>
    <row r="53" spans="1:6" ht="20" customHeight="1">
      <c r="A53" s="9">
        <v>161</v>
      </c>
      <c r="B53" s="3" t="s">
        <v>247</v>
      </c>
      <c r="C53" s="9" t="str">
        <f>IF(ISNUMBER(MATCH($A53, 대여현황!$A:$A, 0)), INDEX(대여현황!C:C, MATCH($A53, 대여현황!$A:$A, 0)), "")</f>
        <v/>
      </c>
      <c r="D53" s="9" t="str">
        <f>IF(ISNUMBER(MATCH($A53, 대여현황!$A:$A, 0)), INDEX(대여현황!D:D, MATCH($A53, 대여현황!$A:$A, 0)), "")</f>
        <v/>
      </c>
      <c r="E53" s="10" t="str">
        <f>IF(ISNUMBER(MATCH($A53, 대여현황!$A:$A, 0)), INDEX(대여현황!E:E, MATCH($A53, 대여현황!$A:$A, 0)), "")</f>
        <v/>
      </c>
      <c r="F53" s="10" t="str">
        <f>IF(ISNUMBER(MATCH($A53, 대여현황!$A:$A, 0)), INDEX(대여현황!F:F, MATCH($A53, 대여현황!$A:$A, 0)), "-")</f>
        <v>-</v>
      </c>
    </row>
    <row r="54" spans="1:6" ht="20" customHeight="1">
      <c r="A54" s="9">
        <v>162</v>
      </c>
      <c r="B54" s="3" t="s">
        <v>247</v>
      </c>
      <c r="C54" s="9" t="str">
        <f>IF(ISNUMBER(MATCH($A54, 대여현황!$A:$A, 0)), INDEX(대여현황!C:C, MATCH($A54, 대여현황!$A:$A, 0)), "")</f>
        <v/>
      </c>
      <c r="D54" s="9" t="str">
        <f>IF(ISNUMBER(MATCH($A54, 대여현황!$A:$A, 0)), INDEX(대여현황!D:D, MATCH($A54, 대여현황!$A:$A, 0)), "")</f>
        <v/>
      </c>
      <c r="E54" s="10" t="str">
        <f>IF(ISNUMBER(MATCH($A54, 대여현황!$A:$A, 0)), INDEX(대여현황!E:E, MATCH($A54, 대여현황!$A:$A, 0)), "")</f>
        <v/>
      </c>
      <c r="F54" s="10" t="str">
        <f>IF(ISNUMBER(MATCH($A54, 대여현황!$A:$A, 0)), INDEX(대여현황!F:F, MATCH($A54, 대여현황!$A:$A, 0)), "-")</f>
        <v>-</v>
      </c>
    </row>
    <row r="55" spans="1:6" ht="20" customHeight="1">
      <c r="A55" s="9">
        <v>163</v>
      </c>
      <c r="B55" s="3" t="s">
        <v>229</v>
      </c>
      <c r="C55" s="9" t="str">
        <f>IF(ISNUMBER(MATCH($A55, 대여현황!$A:$A, 0)), INDEX(대여현황!C:C, MATCH($A55, 대여현황!$A:$A, 0)), "")</f>
        <v/>
      </c>
      <c r="D55" s="9" t="str">
        <f>IF(ISNUMBER(MATCH($A55, 대여현황!$A:$A, 0)), INDEX(대여현황!D:D, MATCH($A55, 대여현황!$A:$A, 0)), "")</f>
        <v/>
      </c>
      <c r="E55" s="10" t="str">
        <f>IF(ISNUMBER(MATCH($A55, 대여현황!$A:$A, 0)), INDEX(대여현황!E:E, MATCH($A55, 대여현황!$A:$A, 0)), "")</f>
        <v/>
      </c>
      <c r="F55" s="10" t="str">
        <f>IF(ISNUMBER(MATCH($A55, 대여현황!$A:$A, 0)), INDEX(대여현황!F:F, MATCH($A55, 대여현황!$A:$A, 0)), "-")</f>
        <v>-</v>
      </c>
    </row>
    <row r="56" spans="1:6" ht="20" customHeight="1">
      <c r="A56" s="9">
        <v>164</v>
      </c>
      <c r="B56" s="3" t="s">
        <v>229</v>
      </c>
      <c r="C56" s="9" t="str">
        <f>IF(ISNUMBER(MATCH($A56, 대여현황!$A:$A, 0)), INDEX(대여현황!C:C, MATCH($A56, 대여현황!$A:$A, 0)), "")</f>
        <v/>
      </c>
      <c r="D56" s="9" t="str">
        <f>IF(ISNUMBER(MATCH($A56, 대여현황!$A:$A, 0)), INDEX(대여현황!D:D, MATCH($A56, 대여현황!$A:$A, 0)), "")</f>
        <v/>
      </c>
      <c r="E56" s="10" t="str">
        <f>IF(ISNUMBER(MATCH($A56, 대여현황!$A:$A, 0)), INDEX(대여현황!E:E, MATCH($A56, 대여현황!$A:$A, 0)), "")</f>
        <v/>
      </c>
      <c r="F56" s="10" t="str">
        <f>IF(ISNUMBER(MATCH($A56, 대여현황!$A:$A, 0)), INDEX(대여현황!F:F, MATCH($A56, 대여현황!$A:$A, 0)), "-")</f>
        <v>-</v>
      </c>
    </row>
    <row r="57" spans="1:6" ht="20" customHeight="1">
      <c r="A57" s="9">
        <v>165</v>
      </c>
      <c r="B57" s="3" t="s">
        <v>250</v>
      </c>
      <c r="C57" s="9" t="str">
        <f>IF(ISNUMBER(MATCH($A57, 대여현황!$A:$A, 0)), INDEX(대여현황!C:C, MATCH($A57, 대여현황!$A:$A, 0)), "")</f>
        <v/>
      </c>
      <c r="D57" s="9" t="str">
        <f>IF(ISNUMBER(MATCH($A57, 대여현황!$A:$A, 0)), INDEX(대여현황!D:D, MATCH($A57, 대여현황!$A:$A, 0)), "")</f>
        <v/>
      </c>
      <c r="E57" s="10" t="str">
        <f>IF(ISNUMBER(MATCH($A57, 대여현황!$A:$A, 0)), INDEX(대여현황!E:E, MATCH($A57, 대여현황!$A:$A, 0)), "")</f>
        <v/>
      </c>
      <c r="F57" s="10" t="str">
        <f>IF(ISNUMBER(MATCH($A57, 대여현황!$A:$A, 0)), INDEX(대여현황!F:F, MATCH($A57, 대여현황!$A:$A, 0)), "-")</f>
        <v>-</v>
      </c>
    </row>
    <row r="58" spans="1:6" ht="20" customHeight="1">
      <c r="A58" s="9">
        <v>166</v>
      </c>
      <c r="B58" s="3" t="s">
        <v>250</v>
      </c>
      <c r="C58" s="9" t="str">
        <f>IF(ISNUMBER(MATCH($A58, 대여현황!$A:$A, 0)), INDEX(대여현황!C:C, MATCH($A58, 대여현황!$A:$A, 0)), "")</f>
        <v/>
      </c>
      <c r="D58" s="9" t="str">
        <f>IF(ISNUMBER(MATCH($A58, 대여현황!$A:$A, 0)), INDEX(대여현황!D:D, MATCH($A58, 대여현황!$A:$A, 0)), "")</f>
        <v/>
      </c>
      <c r="E58" s="10" t="str">
        <f>IF(ISNUMBER(MATCH($A58, 대여현황!$A:$A, 0)), INDEX(대여현황!E:E, MATCH($A58, 대여현황!$A:$A, 0)), "")</f>
        <v/>
      </c>
      <c r="F58" s="10" t="str">
        <f>IF(ISNUMBER(MATCH($A58, 대여현황!$A:$A, 0)), INDEX(대여현황!F:F, MATCH($A58, 대여현황!$A:$A, 0)), "-")</f>
        <v>-</v>
      </c>
    </row>
    <row r="59" spans="1:6" ht="20" customHeight="1">
      <c r="A59" s="9">
        <v>167</v>
      </c>
      <c r="B59" s="3" t="s">
        <v>26</v>
      </c>
      <c r="C59" s="9" t="str">
        <f>IF(ISNUMBER(MATCH($A59, 대여현황!$A:$A, 0)), INDEX(대여현황!C:C, MATCH($A59, 대여현황!$A:$A, 0)), "")</f>
        <v/>
      </c>
      <c r="D59" s="9" t="str">
        <f>IF(ISNUMBER(MATCH($A59, 대여현황!$A:$A, 0)), INDEX(대여현황!D:D, MATCH($A59, 대여현황!$A:$A, 0)), "")</f>
        <v/>
      </c>
      <c r="E59" s="10" t="str">
        <f>IF(ISNUMBER(MATCH($A59, 대여현황!$A:$A, 0)), INDEX(대여현황!E:E, MATCH($A59, 대여현황!$A:$A, 0)), "")</f>
        <v/>
      </c>
      <c r="F59" s="10" t="str">
        <f>IF(ISNUMBER(MATCH($A59, 대여현황!$A:$A, 0)), INDEX(대여현황!F:F, MATCH($A59, 대여현황!$A:$A, 0)), "-")</f>
        <v>-</v>
      </c>
    </row>
    <row r="60" spans="1:6" ht="20" customHeight="1">
      <c r="A60" s="9">
        <v>168</v>
      </c>
      <c r="B60" s="3" t="s">
        <v>26</v>
      </c>
      <c r="C60" s="9" t="str">
        <f>IF(ISNUMBER(MATCH($A60, 대여현황!$A:$A, 0)), INDEX(대여현황!C:C, MATCH($A60, 대여현황!$A:$A, 0)), "")</f>
        <v/>
      </c>
      <c r="D60" s="9" t="str">
        <f>IF(ISNUMBER(MATCH($A60, 대여현황!$A:$A, 0)), INDEX(대여현황!D:D, MATCH($A60, 대여현황!$A:$A, 0)), "")</f>
        <v/>
      </c>
      <c r="E60" s="10" t="str">
        <f>IF(ISNUMBER(MATCH($A60, 대여현황!$A:$A, 0)), INDEX(대여현황!E:E, MATCH($A60, 대여현황!$A:$A, 0)), "")</f>
        <v/>
      </c>
      <c r="F60" s="10" t="str">
        <f>IF(ISNUMBER(MATCH($A60, 대여현황!$A:$A, 0)), INDEX(대여현황!F:F, MATCH($A60, 대여현황!$A:$A, 0)), "-")</f>
        <v>-</v>
      </c>
    </row>
    <row r="61" spans="1:6" ht="20" customHeight="1">
      <c r="A61" s="9">
        <v>169</v>
      </c>
      <c r="B61" s="3" t="s">
        <v>168</v>
      </c>
      <c r="C61" s="9" t="str">
        <f>IF(ISNUMBER(MATCH($A61, 대여현황!$A:$A, 0)), INDEX(대여현황!C:C, MATCH($A61, 대여현황!$A:$A, 0)), "")</f>
        <v/>
      </c>
      <c r="D61" s="9" t="str">
        <f>IF(ISNUMBER(MATCH($A61, 대여현황!$A:$A, 0)), INDEX(대여현황!D:D, MATCH($A61, 대여현황!$A:$A, 0)), "")</f>
        <v/>
      </c>
      <c r="E61" s="10" t="str">
        <f>IF(ISNUMBER(MATCH($A61, 대여현황!$A:$A, 0)), INDEX(대여현황!E:E, MATCH($A61, 대여현황!$A:$A, 0)), "")</f>
        <v/>
      </c>
      <c r="F61" s="10" t="str">
        <f>IF(ISNUMBER(MATCH($A61, 대여현황!$A:$A, 0)), INDEX(대여현황!F:F, MATCH($A61, 대여현황!$A:$A, 0)), "-")</f>
        <v>-</v>
      </c>
    </row>
    <row r="62" spans="1:6" ht="20" customHeight="1">
      <c r="A62" s="9">
        <v>170</v>
      </c>
      <c r="B62" s="3" t="s">
        <v>168</v>
      </c>
      <c r="C62" s="9" t="str">
        <f>IF(ISNUMBER(MATCH($A62, 대여현황!$A:$A, 0)), INDEX(대여현황!C:C, MATCH($A62, 대여현황!$A:$A, 0)), "")</f>
        <v/>
      </c>
      <c r="D62" s="9" t="str">
        <f>IF(ISNUMBER(MATCH($A62, 대여현황!$A:$A, 0)), INDEX(대여현황!D:D, MATCH($A62, 대여현황!$A:$A, 0)), "")</f>
        <v/>
      </c>
      <c r="E62" s="10" t="str">
        <f>IF(ISNUMBER(MATCH($A62, 대여현황!$A:$A, 0)), INDEX(대여현황!E:E, MATCH($A62, 대여현황!$A:$A, 0)), "")</f>
        <v/>
      </c>
      <c r="F62" s="10" t="str">
        <f>IF(ISNUMBER(MATCH($A62, 대여현황!$A:$A, 0)), INDEX(대여현황!F:F, MATCH($A62, 대여현황!$A:$A, 0)), "-")</f>
        <v>-</v>
      </c>
    </row>
    <row r="63" spans="1:6" ht="20" customHeight="1">
      <c r="A63" s="9">
        <v>171</v>
      </c>
      <c r="B63" s="3" t="s">
        <v>169</v>
      </c>
      <c r="C63" s="9" t="str">
        <f>IF(ISNUMBER(MATCH($A63, 대여현황!$A:$A, 0)), INDEX(대여현황!C:C, MATCH($A63, 대여현황!$A:$A, 0)), "")</f>
        <v/>
      </c>
      <c r="D63" s="9" t="str">
        <f>IF(ISNUMBER(MATCH($A63, 대여현황!$A:$A, 0)), INDEX(대여현황!D:D, MATCH($A63, 대여현황!$A:$A, 0)), "")</f>
        <v/>
      </c>
      <c r="E63" s="10" t="str">
        <f>IF(ISNUMBER(MATCH($A63, 대여현황!$A:$A, 0)), INDEX(대여현황!E:E, MATCH($A63, 대여현황!$A:$A, 0)), "")</f>
        <v/>
      </c>
      <c r="F63" s="10" t="str">
        <f>IF(ISNUMBER(MATCH($A63, 대여현황!$A:$A, 0)), INDEX(대여현황!F:F, MATCH($A63, 대여현황!$A:$A, 0)), "-")</f>
        <v>-</v>
      </c>
    </row>
    <row r="64" spans="1:6" ht="20" customHeight="1">
      <c r="A64" s="9">
        <v>172</v>
      </c>
      <c r="B64" s="3" t="s">
        <v>169</v>
      </c>
      <c r="C64" s="9" t="str">
        <f>IF(ISNUMBER(MATCH($A64, 대여현황!$A:$A, 0)), INDEX(대여현황!C:C, MATCH($A64, 대여현황!$A:$A, 0)), "")</f>
        <v/>
      </c>
      <c r="D64" s="9" t="str">
        <f>IF(ISNUMBER(MATCH($A64, 대여현황!$A:$A, 0)), INDEX(대여현황!D:D, MATCH($A64, 대여현황!$A:$A, 0)), "")</f>
        <v/>
      </c>
      <c r="E64" s="10" t="str">
        <f>IF(ISNUMBER(MATCH($A64, 대여현황!$A:$A, 0)), INDEX(대여현황!E:E, MATCH($A64, 대여현황!$A:$A, 0)), "")</f>
        <v/>
      </c>
      <c r="F64" s="10" t="str">
        <f>IF(ISNUMBER(MATCH($A64, 대여현황!$A:$A, 0)), INDEX(대여현황!F:F, MATCH($A64, 대여현황!$A:$A, 0)), "-")</f>
        <v>-</v>
      </c>
    </row>
    <row r="65" spans="1:6" ht="20" customHeight="1">
      <c r="A65" s="9">
        <v>173</v>
      </c>
      <c r="B65" s="3" t="s">
        <v>170</v>
      </c>
      <c r="C65" s="9" t="str">
        <f>IF(ISNUMBER(MATCH($A65, 대여현황!$A:$A, 0)), INDEX(대여현황!C:C, MATCH($A65, 대여현황!$A:$A, 0)), "")</f>
        <v/>
      </c>
      <c r="D65" s="9" t="str">
        <f>IF(ISNUMBER(MATCH($A65, 대여현황!$A:$A, 0)), INDEX(대여현황!D:D, MATCH($A65, 대여현황!$A:$A, 0)), "")</f>
        <v/>
      </c>
      <c r="E65" s="10" t="str">
        <f>IF(ISNUMBER(MATCH($A65, 대여현황!$A:$A, 0)), INDEX(대여현황!E:E, MATCH($A65, 대여현황!$A:$A, 0)), "")</f>
        <v/>
      </c>
      <c r="F65" s="10" t="str">
        <f>IF(ISNUMBER(MATCH($A65, 대여현황!$A:$A, 0)), INDEX(대여현황!F:F, MATCH($A65, 대여현황!$A:$A, 0)), "-")</f>
        <v>-</v>
      </c>
    </row>
    <row r="66" spans="1:6" ht="20" customHeight="1">
      <c r="A66" s="9">
        <v>174</v>
      </c>
      <c r="B66" s="3" t="s">
        <v>170</v>
      </c>
      <c r="C66" s="9" t="str">
        <f>IF(ISNUMBER(MATCH($A66, 대여현황!$A:$A, 0)), INDEX(대여현황!C:C, MATCH($A66, 대여현황!$A:$A, 0)), "")</f>
        <v/>
      </c>
      <c r="D66" s="9" t="str">
        <f>IF(ISNUMBER(MATCH($A66, 대여현황!$A:$A, 0)), INDEX(대여현황!D:D, MATCH($A66, 대여현황!$A:$A, 0)), "")</f>
        <v/>
      </c>
      <c r="E66" s="10" t="str">
        <f>IF(ISNUMBER(MATCH($A66, 대여현황!$A:$A, 0)), INDEX(대여현황!E:E, MATCH($A66, 대여현황!$A:$A, 0)), "")</f>
        <v/>
      </c>
      <c r="F66" s="10" t="str">
        <f>IF(ISNUMBER(MATCH($A66, 대여현황!$A:$A, 0)), INDEX(대여현황!F:F, MATCH($A66, 대여현황!$A:$A, 0)), "-")</f>
        <v>-</v>
      </c>
    </row>
    <row r="67" spans="1:6" ht="20" customHeight="1">
      <c r="A67" s="2">
        <v>175</v>
      </c>
      <c r="B67" s="4" t="s">
        <v>165</v>
      </c>
      <c r="C67" s="9" t="str">
        <f>IF(ISNUMBER(MATCH($A67, 대여현황!$A:$A, 0)), INDEX(대여현황!C:C, MATCH($A67, 대여현황!$A:$A, 0)), "")</f>
        <v/>
      </c>
      <c r="D67" s="9" t="str">
        <f>IF(ISNUMBER(MATCH($A67, 대여현황!$A:$A, 0)), INDEX(대여현황!D:D, MATCH($A67, 대여현황!$A:$A, 0)), "")</f>
        <v/>
      </c>
      <c r="E67" s="10" t="str">
        <f>IF(ISNUMBER(MATCH($A67, 대여현황!$A:$A, 0)), INDEX(대여현황!E:E, MATCH($A67, 대여현황!$A:$A, 0)), "")</f>
        <v/>
      </c>
      <c r="F67" s="10" t="str">
        <f>IF(ISNUMBER(MATCH($A67, 대여현황!$A:$A, 0)), INDEX(대여현황!F:F, MATCH($A67, 대여현황!$A:$A, 0)), "-")</f>
        <v>-</v>
      </c>
    </row>
    <row r="68" spans="1:6" ht="20" customHeight="1">
      <c r="A68" s="9">
        <v>176</v>
      </c>
      <c r="B68" s="3" t="s">
        <v>165</v>
      </c>
      <c r="C68" s="9" t="str">
        <f>IF(ISNUMBER(MATCH($A68, 대여현황!$A:$A, 0)), INDEX(대여현황!C:C, MATCH($A68, 대여현황!$A:$A, 0)), "")</f>
        <v/>
      </c>
      <c r="D68" s="9" t="str">
        <f>IF(ISNUMBER(MATCH($A68, 대여현황!$A:$A, 0)), INDEX(대여현황!D:D, MATCH($A68, 대여현황!$A:$A, 0)), "")</f>
        <v/>
      </c>
      <c r="E68" s="10" t="str">
        <f>IF(ISNUMBER(MATCH($A68, 대여현황!$A:$A, 0)), INDEX(대여현황!E:E, MATCH($A68, 대여현황!$A:$A, 0)), "")</f>
        <v/>
      </c>
      <c r="F68" s="10" t="str">
        <f>IF(ISNUMBER(MATCH($A68, 대여현황!$A:$A, 0)), INDEX(대여현황!F:F, MATCH($A68, 대여현황!$A:$A, 0)), "-")</f>
        <v>-</v>
      </c>
    </row>
    <row r="69" spans="1:6" ht="20" customHeight="1">
      <c r="A69" s="9">
        <v>177</v>
      </c>
      <c r="B69" s="3" t="s">
        <v>165</v>
      </c>
      <c r="C69" s="9" t="str">
        <f>IF(ISNUMBER(MATCH($A69, 대여현황!$A:$A, 0)), INDEX(대여현황!C:C, MATCH($A69, 대여현황!$A:$A, 0)), "")</f>
        <v/>
      </c>
      <c r="D69" s="9" t="str">
        <f>IF(ISNUMBER(MATCH($A69, 대여현황!$A:$A, 0)), INDEX(대여현황!D:D, MATCH($A69, 대여현황!$A:$A, 0)), "")</f>
        <v/>
      </c>
      <c r="E69" s="10" t="str">
        <f>IF(ISNUMBER(MATCH($A69, 대여현황!$A:$A, 0)), INDEX(대여현황!E:E, MATCH($A69, 대여현황!$A:$A, 0)), "")</f>
        <v/>
      </c>
      <c r="F69" s="10" t="str">
        <f>IF(ISNUMBER(MATCH($A69, 대여현황!$A:$A, 0)), INDEX(대여현황!F:F, MATCH($A69, 대여현황!$A:$A, 0)), "-")</f>
        <v>-</v>
      </c>
    </row>
    <row r="70" spans="1:6" ht="20" customHeight="1">
      <c r="A70" s="9">
        <v>178</v>
      </c>
      <c r="B70" s="3" t="s">
        <v>303</v>
      </c>
      <c r="C70" s="9" t="str">
        <f>IF(ISNUMBER(MATCH($A70, 대여현황!$A:$A, 0)), INDEX(대여현황!C:C, MATCH($A70, 대여현황!$A:$A, 0)), "")</f>
        <v/>
      </c>
      <c r="D70" s="9" t="str">
        <f>IF(ISNUMBER(MATCH($A70, 대여현황!$A:$A, 0)), INDEX(대여현황!D:D, MATCH($A70, 대여현황!$A:$A, 0)), "")</f>
        <v/>
      </c>
      <c r="E70" s="10" t="str">
        <f>IF(ISNUMBER(MATCH($A70, 대여현황!$A:$A, 0)), INDEX(대여현황!E:E, MATCH($A70, 대여현황!$A:$A, 0)), "")</f>
        <v/>
      </c>
      <c r="F70" s="10" t="str">
        <f>IF(ISNUMBER(MATCH($A70, 대여현황!$A:$A, 0)), INDEX(대여현황!F:F, MATCH($A70, 대여현황!$A:$A, 0)), "-")</f>
        <v>-</v>
      </c>
    </row>
    <row r="71" spans="1:6" ht="20" customHeight="1">
      <c r="A71" s="9">
        <v>179</v>
      </c>
      <c r="B71" s="3" t="s">
        <v>172</v>
      </c>
      <c r="C71" s="9" t="str">
        <f>IF(ISNUMBER(MATCH($A71, 대여현황!$A:$A, 0)), INDEX(대여현황!C:C, MATCH($A71, 대여현황!$A:$A, 0)), "")</f>
        <v/>
      </c>
      <c r="D71" s="9" t="str">
        <f>IF(ISNUMBER(MATCH($A71, 대여현황!$A:$A, 0)), INDEX(대여현황!D:D, MATCH($A71, 대여현황!$A:$A, 0)), "")</f>
        <v/>
      </c>
      <c r="E71" s="10" t="str">
        <f>IF(ISNUMBER(MATCH($A71, 대여현황!$A:$A, 0)), INDEX(대여현황!E:E, MATCH($A71, 대여현황!$A:$A, 0)), "")</f>
        <v/>
      </c>
      <c r="F71" s="10" t="str">
        <f>IF(ISNUMBER(MATCH($A71, 대여현황!$A:$A, 0)), INDEX(대여현황!F:F, MATCH($A71, 대여현황!$A:$A, 0)), "-")</f>
        <v>-</v>
      </c>
    </row>
    <row r="72" spans="1:6" ht="20" customHeight="1">
      <c r="A72" s="9">
        <v>180</v>
      </c>
      <c r="B72" s="3" t="s">
        <v>27</v>
      </c>
      <c r="C72" s="9" t="str">
        <f>IF(ISNUMBER(MATCH($A72, 대여현황!$A:$A, 0)), INDEX(대여현황!C:C, MATCH($A72, 대여현황!$A:$A, 0)), "")</f>
        <v/>
      </c>
      <c r="D72" s="9" t="str">
        <f>IF(ISNUMBER(MATCH($A72, 대여현황!$A:$A, 0)), INDEX(대여현황!D:D, MATCH($A72, 대여현황!$A:$A, 0)), "")</f>
        <v/>
      </c>
      <c r="E72" s="10" t="str">
        <f>IF(ISNUMBER(MATCH($A72, 대여현황!$A:$A, 0)), INDEX(대여현황!E:E, MATCH($A72, 대여현황!$A:$A, 0)), "")</f>
        <v/>
      </c>
      <c r="F72" s="10" t="str">
        <f>IF(ISNUMBER(MATCH($A72, 대여현황!$A:$A, 0)), INDEX(대여현황!F:F, MATCH($A72, 대여현황!$A:$A, 0)), "-")</f>
        <v>-</v>
      </c>
    </row>
    <row r="73" spans="1:6" ht="20" customHeight="1">
      <c r="A73" s="9">
        <v>181</v>
      </c>
      <c r="B73" s="3" t="s">
        <v>175</v>
      </c>
      <c r="C73" s="9" t="str">
        <f>IF(ISNUMBER(MATCH($A73, 대여현황!$A:$A, 0)), INDEX(대여현황!C:C, MATCH($A73, 대여현황!$A:$A, 0)), "")</f>
        <v/>
      </c>
      <c r="D73" s="9" t="str">
        <f>IF(ISNUMBER(MATCH($A73, 대여현황!$A:$A, 0)), INDEX(대여현황!D:D, MATCH($A73, 대여현황!$A:$A, 0)), "")</f>
        <v/>
      </c>
      <c r="E73" s="10" t="str">
        <f>IF(ISNUMBER(MATCH($A73, 대여현황!$A:$A, 0)), INDEX(대여현황!E:E, MATCH($A73, 대여현황!$A:$A, 0)), "")</f>
        <v/>
      </c>
      <c r="F73" s="10" t="str">
        <f>IF(ISNUMBER(MATCH($A73, 대여현황!$A:$A, 0)), INDEX(대여현황!F:F, MATCH($A73, 대여현황!$A:$A, 0)), "-")</f>
        <v>-</v>
      </c>
    </row>
    <row r="74" spans="1:6" ht="20" customHeight="1">
      <c r="A74" s="15">
        <v>182</v>
      </c>
      <c r="B74" s="16" t="s">
        <v>205</v>
      </c>
      <c r="C74" s="15" t="str">
        <f>IF(ISNUMBER(MATCH($A74, 대여현황!$A:$A, 0)), INDEX(대여현황!C:C, MATCH($A74, 대여현황!$A:$A, 0)), "")</f>
        <v/>
      </c>
      <c r="D74" s="15" t="str">
        <f>IF(ISNUMBER(MATCH($A74, 대여현황!$A:$A, 0)), INDEX(대여현황!D:D, MATCH($A74, 대여현황!$A:$A, 0)), "")</f>
        <v/>
      </c>
      <c r="E74" s="19" t="str">
        <f>IF(ISNUMBER(MATCH($A74, 대여현황!$A:$A, 0)), INDEX(대여현황!E:E, MATCH($A74, 대여현황!$A:$A, 0)), "")</f>
        <v/>
      </c>
      <c r="F74" s="10" t="str">
        <f>IF(ISNUMBER(MATCH($A74, 대여현황!$A:$A, 0)), INDEX(대여현황!F:F, MATCH($A74, 대여현황!$A:$A, 0)), "-")</f>
        <v>-</v>
      </c>
    </row>
    <row r="75" spans="1:6" ht="20" customHeight="1">
      <c r="A75" s="15">
        <v>183</v>
      </c>
      <c r="B75" s="16" t="s">
        <v>236</v>
      </c>
      <c r="C75" s="15" t="str">
        <f>IF(ISNUMBER(MATCH($A75, 대여현황!$A:$A, 0)), INDEX(대여현황!C:C, MATCH($A75, 대여현황!$A:$A, 0)), "")</f>
        <v/>
      </c>
      <c r="D75" s="15" t="str">
        <f>IF(ISNUMBER(MATCH($A75, 대여현황!$A:$A, 0)), INDEX(대여현황!D:D, MATCH($A75, 대여현황!$A:$A, 0)), "")</f>
        <v/>
      </c>
      <c r="E75" s="19" t="str">
        <f>IF(ISNUMBER(MATCH($A75, 대여현황!$A:$A, 0)), INDEX(대여현황!E:E, MATCH($A75, 대여현황!$A:$A, 0)), "")</f>
        <v/>
      </c>
      <c r="F75" s="10" t="str">
        <f>IF(ISNUMBER(MATCH($A75, 대여현황!$A:$A, 0)), INDEX(대여현황!F:F, MATCH($A75, 대여현황!$A:$A, 0)), "-")</f>
        <v>-</v>
      </c>
    </row>
    <row r="76" spans="1:6" ht="20" customHeight="1">
      <c r="A76" s="9">
        <v>184</v>
      </c>
      <c r="B76" s="3" t="s">
        <v>236</v>
      </c>
      <c r="C76" s="9" t="str">
        <f>IF(ISNUMBER(MATCH($A76, 대여현황!$A:$A, 0)), INDEX(대여현황!C:C, MATCH($A76, 대여현황!$A:$A, 0)), "")</f>
        <v/>
      </c>
      <c r="D76" s="9" t="str">
        <f>IF(ISNUMBER(MATCH($A76, 대여현황!$A:$A, 0)), INDEX(대여현황!D:D, MATCH($A76, 대여현황!$A:$A, 0)), "")</f>
        <v/>
      </c>
      <c r="E76" s="10" t="str">
        <f>IF(ISNUMBER(MATCH($A76, 대여현황!$A:$A, 0)), INDEX(대여현황!E:E, MATCH($A76, 대여현황!$A:$A, 0)), "")</f>
        <v/>
      </c>
      <c r="F76" s="10" t="str">
        <f>IF(ISNUMBER(MATCH($A76, 대여현황!$A:$A, 0)), INDEX(대여현황!F:F, MATCH($A76, 대여현황!$A:$A, 0)), "-")</f>
        <v>-</v>
      </c>
    </row>
    <row r="77" spans="1:6" ht="20" customHeight="1">
      <c r="A77" s="9">
        <v>185</v>
      </c>
      <c r="B77" s="3" t="s">
        <v>180</v>
      </c>
      <c r="C77" s="9" t="str">
        <f>IF(ISNUMBER(MATCH($A77, 대여현황!$A:$A, 0)), INDEX(대여현황!C:C, MATCH($A77, 대여현황!$A:$A, 0)), "")</f>
        <v/>
      </c>
      <c r="D77" s="9" t="str">
        <f>IF(ISNUMBER(MATCH($A77, 대여현황!$A:$A, 0)), INDEX(대여현황!D:D, MATCH($A77, 대여현황!$A:$A, 0)), "")</f>
        <v/>
      </c>
      <c r="E77" s="10" t="str">
        <f>IF(ISNUMBER(MATCH($A77, 대여현황!$A:$A, 0)), INDEX(대여현황!E:E, MATCH($A77, 대여현황!$A:$A, 0)), "")</f>
        <v/>
      </c>
      <c r="F77" s="10" t="str">
        <f>IF(ISNUMBER(MATCH($A77, 대여현황!$A:$A, 0)), INDEX(대여현황!F:F, MATCH($A77, 대여현황!$A:$A, 0)), "-")</f>
        <v>-</v>
      </c>
    </row>
    <row r="78" spans="1:6" ht="20" customHeight="1">
      <c r="A78" s="9">
        <v>186</v>
      </c>
      <c r="B78" s="3" t="s">
        <v>180</v>
      </c>
      <c r="C78" s="9" t="str">
        <f>IF(ISNUMBER(MATCH($A78, 대여현황!$A:$A, 0)), INDEX(대여현황!C:C, MATCH($A78, 대여현황!$A:$A, 0)), "")</f>
        <v/>
      </c>
      <c r="D78" s="9" t="str">
        <f>IF(ISNUMBER(MATCH($A78, 대여현황!$A:$A, 0)), INDEX(대여현황!D:D, MATCH($A78, 대여현황!$A:$A, 0)), "")</f>
        <v/>
      </c>
      <c r="E78" s="10" t="str">
        <f>IF(ISNUMBER(MATCH($A78, 대여현황!$A:$A, 0)), INDEX(대여현황!E:E, MATCH($A78, 대여현황!$A:$A, 0)), "")</f>
        <v/>
      </c>
      <c r="F78" s="10" t="str">
        <f>IF(ISNUMBER(MATCH($A78, 대여현황!$A:$A, 0)), INDEX(대여현황!F:F, MATCH($A78, 대여현황!$A:$A, 0)), "-")</f>
        <v>-</v>
      </c>
    </row>
    <row r="79" spans="1:6" ht="20" customHeight="1">
      <c r="A79" s="9">
        <v>187</v>
      </c>
      <c r="B79" s="3" t="s">
        <v>9</v>
      </c>
      <c r="C79" s="9" t="str">
        <f>IF(ISNUMBER(MATCH($A79, 대여현황!$A:$A, 0)), INDEX(대여현황!C:C, MATCH($A79, 대여현황!$A:$A, 0)), "")</f>
        <v/>
      </c>
      <c r="D79" s="9" t="str">
        <f>IF(ISNUMBER(MATCH($A79, 대여현황!$A:$A, 0)), INDEX(대여현황!D:D, MATCH($A79, 대여현황!$A:$A, 0)), "")</f>
        <v/>
      </c>
      <c r="E79" s="10" t="str">
        <f>IF(ISNUMBER(MATCH($A79, 대여현황!$A:$A, 0)), INDEX(대여현황!E:E, MATCH($A79, 대여현황!$A:$A, 0)), "")</f>
        <v/>
      </c>
      <c r="F79" s="10" t="str">
        <f>IF(ISNUMBER(MATCH($A79, 대여현황!$A:$A, 0)), INDEX(대여현황!F:F, MATCH($A79, 대여현황!$A:$A, 0)), "-")</f>
        <v>-</v>
      </c>
    </row>
    <row r="80" spans="1:6" ht="20" customHeight="1">
      <c r="A80" s="9">
        <v>188</v>
      </c>
      <c r="B80" s="3" t="s">
        <v>9</v>
      </c>
      <c r="C80" s="9" t="str">
        <f>IF(ISNUMBER(MATCH($A80, 대여현황!$A:$A, 0)), INDEX(대여현황!C:C, MATCH($A80, 대여현황!$A:$A, 0)), "")</f>
        <v/>
      </c>
      <c r="D80" s="9" t="str">
        <f>IF(ISNUMBER(MATCH($A80, 대여현황!$A:$A, 0)), INDEX(대여현황!D:D, MATCH($A80, 대여현황!$A:$A, 0)), "")</f>
        <v/>
      </c>
      <c r="E80" s="10" t="str">
        <f>IF(ISNUMBER(MATCH($A80, 대여현황!$A:$A, 0)), INDEX(대여현황!E:E, MATCH($A80, 대여현황!$A:$A, 0)), "")</f>
        <v/>
      </c>
      <c r="F80" s="10" t="str">
        <f>IF(ISNUMBER(MATCH($A80, 대여현황!$A:$A, 0)), INDEX(대여현황!F:F, MATCH($A80, 대여현황!$A:$A, 0)), "-")</f>
        <v>-</v>
      </c>
    </row>
    <row r="81" spans="1:6" ht="20" customHeight="1">
      <c r="A81" s="9">
        <v>189</v>
      </c>
      <c r="B81" s="3" t="s">
        <v>38</v>
      </c>
      <c r="C81" s="9" t="str">
        <f>IF(ISNUMBER(MATCH($A81, 대여현황!$A:$A, 0)), INDEX(대여현황!C:C, MATCH($A81, 대여현황!$A:$A, 0)), "")</f>
        <v/>
      </c>
      <c r="D81" s="9" t="str">
        <f>IF(ISNUMBER(MATCH($A81, 대여현황!$A:$A, 0)), INDEX(대여현황!D:D, MATCH($A81, 대여현황!$A:$A, 0)), "")</f>
        <v/>
      </c>
      <c r="E81" s="10" t="str">
        <f>IF(ISNUMBER(MATCH($A81, 대여현황!$A:$A, 0)), INDEX(대여현황!E:E, MATCH($A81, 대여현황!$A:$A, 0)), "")</f>
        <v/>
      </c>
      <c r="F81" s="10" t="str">
        <f>IF(ISNUMBER(MATCH($A81, 대여현황!$A:$A, 0)), INDEX(대여현황!F:F, MATCH($A81, 대여현황!$A:$A, 0)), "-")</f>
        <v>-</v>
      </c>
    </row>
    <row r="82" spans="1:6" ht="20" customHeight="1">
      <c r="A82" s="9">
        <v>190</v>
      </c>
      <c r="B82" s="3" t="s">
        <v>38</v>
      </c>
      <c r="C82" s="9" t="str">
        <f>IF(ISNUMBER(MATCH($A82, 대여현황!$A:$A, 0)), INDEX(대여현황!C:C, MATCH($A82, 대여현황!$A:$A, 0)), "")</f>
        <v/>
      </c>
      <c r="D82" s="9" t="str">
        <f>IF(ISNUMBER(MATCH($A82, 대여현황!$A:$A, 0)), INDEX(대여현황!D:D, MATCH($A82, 대여현황!$A:$A, 0)), "")</f>
        <v/>
      </c>
      <c r="E82" s="10" t="str">
        <f>IF(ISNUMBER(MATCH($A82, 대여현황!$A:$A, 0)), INDEX(대여현황!E:E, MATCH($A82, 대여현황!$A:$A, 0)), "")</f>
        <v/>
      </c>
      <c r="F82" s="10" t="str">
        <f>IF(ISNUMBER(MATCH($A82, 대여현황!$A:$A, 0)), INDEX(대여현황!F:F, MATCH($A82, 대여현황!$A:$A, 0)), "-")</f>
        <v>-</v>
      </c>
    </row>
    <row r="83" spans="1:6" ht="20" customHeight="1">
      <c r="A83" s="9">
        <v>191</v>
      </c>
      <c r="B83" s="3" t="s">
        <v>39</v>
      </c>
      <c r="C83" s="9" t="str">
        <f>IF(ISNUMBER(MATCH($A83, 대여현황!$A:$A, 0)), INDEX(대여현황!C:C, MATCH($A83, 대여현황!$A:$A, 0)), "")</f>
        <v/>
      </c>
      <c r="D83" s="9" t="str">
        <f>IF(ISNUMBER(MATCH($A83, 대여현황!$A:$A, 0)), INDEX(대여현황!D:D, MATCH($A83, 대여현황!$A:$A, 0)), "")</f>
        <v/>
      </c>
      <c r="E83" s="10" t="str">
        <f>IF(ISNUMBER(MATCH($A83, 대여현황!$A:$A, 0)), INDEX(대여현황!E:E, MATCH($A83, 대여현황!$A:$A, 0)), "")</f>
        <v/>
      </c>
      <c r="F83" s="10" t="str">
        <f>IF(ISNUMBER(MATCH($A83, 대여현황!$A:$A, 0)), INDEX(대여현황!F:F, MATCH($A83, 대여현황!$A:$A, 0)), "-")</f>
        <v>-</v>
      </c>
    </row>
    <row r="84" spans="1:6" ht="20" customHeight="1">
      <c r="A84" s="9">
        <v>192</v>
      </c>
      <c r="B84" s="3" t="s">
        <v>171</v>
      </c>
      <c r="C84" s="9" t="str">
        <f>IF(ISNUMBER(MATCH($A84, 대여현황!$A:$A, 0)), INDEX(대여현황!C:C, MATCH($A84, 대여현황!$A:$A, 0)), "")</f>
        <v/>
      </c>
      <c r="D84" s="9" t="str">
        <f>IF(ISNUMBER(MATCH($A84, 대여현황!$A:$A, 0)), INDEX(대여현황!D:D, MATCH($A84, 대여현황!$A:$A, 0)), "")</f>
        <v/>
      </c>
      <c r="E84" s="10" t="str">
        <f>IF(ISNUMBER(MATCH($A84, 대여현황!$A:$A, 0)), INDEX(대여현황!E:E, MATCH($A84, 대여현황!$A:$A, 0)), "")</f>
        <v/>
      </c>
      <c r="F84" s="10" t="str">
        <f>IF(ISNUMBER(MATCH($A84, 대여현황!$A:$A, 0)), INDEX(대여현황!F:F, MATCH($A84, 대여현황!$A:$A, 0)), "-")</f>
        <v>-</v>
      </c>
    </row>
    <row r="85" spans="1:6" ht="20" customHeight="1">
      <c r="A85" s="9">
        <v>193</v>
      </c>
      <c r="B85" s="3" t="s">
        <v>51</v>
      </c>
      <c r="C85" s="9" t="str">
        <f>IF(ISNUMBER(MATCH($A85, 대여현황!$A:$A, 0)), INDEX(대여현황!C:C, MATCH($A85, 대여현황!$A:$A, 0)), "")</f>
        <v/>
      </c>
      <c r="D85" s="9" t="str">
        <f>IF(ISNUMBER(MATCH($A85, 대여현황!$A:$A, 0)), INDEX(대여현황!D:D, MATCH($A85, 대여현황!$A:$A, 0)), "")</f>
        <v/>
      </c>
      <c r="E85" s="10" t="str">
        <f>IF(ISNUMBER(MATCH($A85, 대여현황!$A:$A, 0)), INDEX(대여현황!E:E, MATCH($A85, 대여현황!$A:$A, 0)), "")</f>
        <v/>
      </c>
      <c r="F85" s="10" t="str">
        <f>IF(ISNUMBER(MATCH($A85, 대여현황!$A:$A, 0)), INDEX(대여현황!F:F, MATCH($A85, 대여현황!$A:$A, 0)), "-")</f>
        <v>-</v>
      </c>
    </row>
    <row r="86" spans="1:6" ht="20" customHeight="1">
      <c r="A86" s="9">
        <v>194</v>
      </c>
      <c r="B86" s="3" t="s">
        <v>313</v>
      </c>
      <c r="C86" s="9" t="str">
        <f>IF(ISNUMBER(MATCH($A86, 대여현황!$A:$A, 0)), INDEX(대여현황!C:C, MATCH($A86, 대여현황!$A:$A, 0)), "")</f>
        <v/>
      </c>
      <c r="D86" s="9" t="str">
        <f>IF(ISNUMBER(MATCH($A86, 대여현황!$A:$A, 0)), INDEX(대여현황!D:D, MATCH($A86, 대여현황!$A:$A, 0)), "")</f>
        <v/>
      </c>
      <c r="E86" s="10" t="str">
        <f>IF(ISNUMBER(MATCH($A86, 대여현황!$A:$A, 0)), INDEX(대여현황!E:E, MATCH($A86, 대여현황!$A:$A, 0)), "")</f>
        <v/>
      </c>
      <c r="F86" s="10" t="str">
        <f>IF(ISNUMBER(MATCH($A86, 대여현황!$A:$A, 0)), INDEX(대여현황!F:F, MATCH($A86, 대여현황!$A:$A, 0)), "-")</f>
        <v>-</v>
      </c>
    </row>
    <row r="87" spans="1:6" ht="20" customHeight="1">
      <c r="A87" s="9">
        <v>195</v>
      </c>
      <c r="B87" s="3" t="s">
        <v>301</v>
      </c>
      <c r="C87" s="9" t="str">
        <f>IF(ISNUMBER(MATCH($A87, 대여현황!$A:$A, 0)), INDEX(대여현황!C:C, MATCH($A87, 대여현황!$A:$A, 0)), "")</f>
        <v/>
      </c>
      <c r="D87" s="9" t="str">
        <f>IF(ISNUMBER(MATCH($A87, 대여현황!$A:$A, 0)), INDEX(대여현황!D:D, MATCH($A87, 대여현황!$A:$A, 0)), "")</f>
        <v/>
      </c>
      <c r="E87" s="10" t="str">
        <f>IF(ISNUMBER(MATCH($A87, 대여현황!$A:$A, 0)), INDEX(대여현황!E:E, MATCH($A87, 대여현황!$A:$A, 0)), "")</f>
        <v/>
      </c>
      <c r="F87" s="10" t="str">
        <f>IF(ISNUMBER(MATCH($A87, 대여현황!$A:$A, 0)), INDEX(대여현황!F:F, MATCH($A87, 대여현황!$A:$A, 0)), "-")</f>
        <v>-</v>
      </c>
    </row>
    <row r="88" spans="1:6" ht="20" customHeight="1">
      <c r="A88" s="9">
        <v>196</v>
      </c>
      <c r="B88" s="3" t="s">
        <v>301</v>
      </c>
      <c r="C88" s="9" t="str">
        <f>IF(ISNUMBER(MATCH($A88, 대여현황!$A:$A, 0)), INDEX(대여현황!C:C, MATCH($A88, 대여현황!$A:$A, 0)), "")</f>
        <v/>
      </c>
      <c r="D88" s="9" t="str">
        <f>IF(ISNUMBER(MATCH($A88, 대여현황!$A:$A, 0)), INDEX(대여현황!D:D, MATCH($A88, 대여현황!$A:$A, 0)), "")</f>
        <v/>
      </c>
      <c r="E88" s="10" t="str">
        <f>IF(ISNUMBER(MATCH($A88, 대여현황!$A:$A, 0)), INDEX(대여현황!E:E, MATCH($A88, 대여현황!$A:$A, 0)), "")</f>
        <v/>
      </c>
      <c r="F88" s="10" t="str">
        <f>IF(ISNUMBER(MATCH($A88, 대여현황!$A:$A, 0)), INDEX(대여현황!F:F, MATCH($A88, 대여현황!$A:$A, 0)), "-")</f>
        <v>-</v>
      </c>
    </row>
    <row r="89" spans="1:6" ht="20" customHeight="1">
      <c r="A89" s="9">
        <v>197</v>
      </c>
      <c r="B89" s="3" t="s">
        <v>174</v>
      </c>
      <c r="C89" s="9" t="str">
        <f>IF(ISNUMBER(MATCH($A89, 대여현황!$A:$A, 0)), INDEX(대여현황!C:C, MATCH($A89, 대여현황!$A:$A, 0)), "")</f>
        <v/>
      </c>
      <c r="D89" s="9" t="str">
        <f>IF(ISNUMBER(MATCH($A89, 대여현황!$A:$A, 0)), INDEX(대여현황!D:D, MATCH($A89, 대여현황!$A:$A, 0)), "")</f>
        <v/>
      </c>
      <c r="E89" s="10" t="str">
        <f>IF(ISNUMBER(MATCH($A89, 대여현황!$A:$A, 0)), INDEX(대여현황!E:E, MATCH($A89, 대여현황!$A:$A, 0)), "")</f>
        <v/>
      </c>
      <c r="F89" s="10" t="str">
        <f>IF(ISNUMBER(MATCH($A89, 대여현황!$A:$A, 0)), INDEX(대여현황!F:F, MATCH($A89, 대여현황!$A:$A, 0)), "-")</f>
        <v>-</v>
      </c>
    </row>
    <row r="90" spans="1:6" ht="20" customHeight="1">
      <c r="A90" s="9">
        <v>198</v>
      </c>
      <c r="B90" s="3" t="s">
        <v>174</v>
      </c>
      <c r="C90" s="9" t="str">
        <f>IF(ISNUMBER(MATCH($A90, 대여현황!$A:$A, 0)), INDEX(대여현황!C:C, MATCH($A90, 대여현황!$A:$A, 0)), "")</f>
        <v/>
      </c>
      <c r="D90" s="9" t="str">
        <f>IF(ISNUMBER(MATCH($A90, 대여현황!$A:$A, 0)), INDEX(대여현황!D:D, MATCH($A90, 대여현황!$A:$A, 0)), "")</f>
        <v/>
      </c>
      <c r="E90" s="10" t="str">
        <f>IF(ISNUMBER(MATCH($A90, 대여현황!$A:$A, 0)), INDEX(대여현황!E:E, MATCH($A90, 대여현황!$A:$A, 0)), "")</f>
        <v/>
      </c>
      <c r="F90" s="10" t="str">
        <f>IF(ISNUMBER(MATCH($A90, 대여현황!$A:$A, 0)), INDEX(대여현황!F:F, MATCH($A90, 대여현황!$A:$A, 0)), "-")</f>
        <v>-</v>
      </c>
    </row>
    <row r="91" spans="1:6" ht="20" customHeight="1">
      <c r="A91" s="9">
        <v>199</v>
      </c>
      <c r="B91" s="3" t="s">
        <v>179</v>
      </c>
      <c r="C91" s="9" t="str">
        <f>IF(ISNUMBER(MATCH($A91, 대여현황!$A:$A, 0)), INDEX(대여현황!C:C, MATCH($A91, 대여현황!$A:$A, 0)), "")</f>
        <v/>
      </c>
      <c r="D91" s="9" t="str">
        <f>IF(ISNUMBER(MATCH($A91, 대여현황!$A:$A, 0)), INDEX(대여현황!D:D, MATCH($A91, 대여현황!$A:$A, 0)), "")</f>
        <v/>
      </c>
      <c r="E91" s="10" t="str">
        <f>IF(ISNUMBER(MATCH($A91, 대여현황!$A:$A, 0)), INDEX(대여현황!E:E, MATCH($A91, 대여현황!$A:$A, 0)), "")</f>
        <v/>
      </c>
      <c r="F91" s="10" t="str">
        <f>IF(ISNUMBER(MATCH($A91, 대여현황!$A:$A, 0)), INDEX(대여현황!F:F, MATCH($A91, 대여현황!$A:$A, 0)), "-")</f>
        <v>-</v>
      </c>
    </row>
    <row r="92" spans="1:6" ht="20" customHeight="1">
      <c r="A92" s="9">
        <v>200</v>
      </c>
      <c r="B92" s="3" t="s">
        <v>179</v>
      </c>
      <c r="C92" s="9" t="str">
        <f>IF(ISNUMBER(MATCH($A92, 대여현황!$A:$A, 0)), INDEX(대여현황!C:C, MATCH($A92, 대여현황!$A:$A, 0)), "")</f>
        <v/>
      </c>
      <c r="D92" s="9" t="str">
        <f>IF(ISNUMBER(MATCH($A92, 대여현황!$A:$A, 0)), INDEX(대여현황!D:D, MATCH($A92, 대여현황!$A:$A, 0)), "")</f>
        <v/>
      </c>
      <c r="E92" s="10" t="str">
        <f>IF(ISNUMBER(MATCH($A92, 대여현황!$A:$A, 0)), INDEX(대여현황!E:E, MATCH($A92, 대여현황!$A:$A, 0)), "")</f>
        <v/>
      </c>
      <c r="F92" s="10" t="str">
        <f>IF(ISNUMBER(MATCH($A92, 대여현황!$A:$A, 0)), INDEX(대여현황!F:F, MATCH($A92, 대여현황!$A:$A, 0)), "-")</f>
        <v>-</v>
      </c>
    </row>
    <row r="93" spans="1:6" ht="20" customHeight="1">
      <c r="A93" s="9">
        <v>201</v>
      </c>
      <c r="B93" s="3" t="s">
        <v>173</v>
      </c>
      <c r="C93" s="9" t="str">
        <f>IF(ISNUMBER(MATCH($A93, 대여현황!$A:$A, 0)), INDEX(대여현황!C:C, MATCH($A93, 대여현황!$A:$A, 0)), "")</f>
        <v/>
      </c>
      <c r="D93" s="9" t="str">
        <f>IF(ISNUMBER(MATCH($A93, 대여현황!$A:$A, 0)), INDEX(대여현황!D:D, MATCH($A93, 대여현황!$A:$A, 0)), "")</f>
        <v/>
      </c>
      <c r="E93" s="10" t="str">
        <f>IF(ISNUMBER(MATCH($A93, 대여현황!$A:$A, 0)), INDEX(대여현황!E:E, MATCH($A93, 대여현황!$A:$A, 0)), "")</f>
        <v/>
      </c>
      <c r="F93" s="10" t="str">
        <f>IF(ISNUMBER(MATCH($A93, 대여현황!$A:$A, 0)), INDEX(대여현황!F:F, MATCH($A93, 대여현황!$A:$A, 0)), "-")</f>
        <v>-</v>
      </c>
    </row>
    <row r="94" spans="1:6" ht="20" customHeight="1">
      <c r="A94" s="9">
        <v>202</v>
      </c>
      <c r="B94" s="3" t="s">
        <v>173</v>
      </c>
      <c r="C94" s="9" t="str">
        <f>IF(ISNUMBER(MATCH($A94, 대여현황!$A:$A, 0)), INDEX(대여현황!C:C, MATCH($A94, 대여현황!$A:$A, 0)), "")</f>
        <v/>
      </c>
      <c r="D94" s="9" t="str">
        <f>IF(ISNUMBER(MATCH($A94, 대여현황!$A:$A, 0)), INDEX(대여현황!D:D, MATCH($A94, 대여현황!$A:$A, 0)), "")</f>
        <v/>
      </c>
      <c r="E94" s="10" t="str">
        <f>IF(ISNUMBER(MATCH($A94, 대여현황!$A:$A, 0)), INDEX(대여현황!E:E, MATCH($A94, 대여현황!$A:$A, 0)), "")</f>
        <v/>
      </c>
      <c r="F94" s="10" t="str">
        <f>IF(ISNUMBER(MATCH($A94, 대여현황!$A:$A, 0)), INDEX(대여현황!F:F, MATCH($A94, 대여현황!$A:$A, 0)), "-")</f>
        <v>-</v>
      </c>
    </row>
    <row r="95" spans="1:6" ht="20" customHeight="1">
      <c r="A95" s="9">
        <v>203</v>
      </c>
      <c r="B95" s="3" t="s">
        <v>176</v>
      </c>
      <c r="C95" s="9" t="str">
        <f>IF(ISNUMBER(MATCH($A95, 대여현황!$A:$A, 0)), INDEX(대여현황!C:C, MATCH($A95, 대여현황!$A:$A, 0)), "")</f>
        <v/>
      </c>
      <c r="D95" s="9" t="str">
        <f>IF(ISNUMBER(MATCH($A95, 대여현황!$A:$A, 0)), INDEX(대여현황!D:D, MATCH($A95, 대여현황!$A:$A, 0)), "")</f>
        <v/>
      </c>
      <c r="E95" s="10" t="str">
        <f>IF(ISNUMBER(MATCH($A95, 대여현황!$A:$A, 0)), INDEX(대여현황!E:E, MATCH($A95, 대여현황!$A:$A, 0)), "")</f>
        <v/>
      </c>
      <c r="F95" s="10" t="str">
        <f>IF(ISNUMBER(MATCH($A95, 대여현황!$A:$A, 0)), INDEX(대여현황!F:F, MATCH($A95, 대여현황!$A:$A, 0)), "-")</f>
        <v>-</v>
      </c>
    </row>
    <row r="96" spans="1:6" ht="20" customHeight="1">
      <c r="A96" s="9">
        <v>204</v>
      </c>
      <c r="B96" s="3" t="s">
        <v>176</v>
      </c>
      <c r="C96" s="9" t="str">
        <f>IF(ISNUMBER(MATCH($A96, 대여현황!$A:$A, 0)), INDEX(대여현황!C:C, MATCH($A96, 대여현황!$A:$A, 0)), "")</f>
        <v/>
      </c>
      <c r="D96" s="9" t="str">
        <f>IF(ISNUMBER(MATCH($A96, 대여현황!$A:$A, 0)), INDEX(대여현황!D:D, MATCH($A96, 대여현황!$A:$A, 0)), "")</f>
        <v/>
      </c>
      <c r="E96" s="10" t="str">
        <f>IF(ISNUMBER(MATCH($A96, 대여현황!$A:$A, 0)), INDEX(대여현황!E:E, MATCH($A96, 대여현황!$A:$A, 0)), "")</f>
        <v/>
      </c>
      <c r="F96" s="10" t="str">
        <f>IF(ISNUMBER(MATCH($A96, 대여현황!$A:$A, 0)), INDEX(대여현황!F:F, MATCH($A96, 대여현황!$A:$A, 0)), "-")</f>
        <v>-</v>
      </c>
    </row>
    <row r="97" spans="1:6" ht="20" customHeight="1">
      <c r="A97" s="9">
        <v>205</v>
      </c>
      <c r="B97" s="3" t="s">
        <v>177</v>
      </c>
      <c r="C97" s="9" t="str">
        <f>IF(ISNUMBER(MATCH($A97, 대여현황!$A:$A, 0)), INDEX(대여현황!C:C, MATCH($A97, 대여현황!$A:$A, 0)), "")</f>
        <v/>
      </c>
      <c r="D97" s="9" t="str">
        <f>IF(ISNUMBER(MATCH($A97, 대여현황!$A:$A, 0)), INDEX(대여현황!D:D, MATCH($A97, 대여현황!$A:$A, 0)), "")</f>
        <v/>
      </c>
      <c r="E97" s="10" t="str">
        <f>IF(ISNUMBER(MATCH($A97, 대여현황!$A:$A, 0)), INDEX(대여현황!E:E, MATCH($A97, 대여현황!$A:$A, 0)), "")</f>
        <v/>
      </c>
      <c r="F97" s="10" t="str">
        <f>IF(ISNUMBER(MATCH($A97, 대여현황!$A:$A, 0)), INDEX(대여현황!F:F, MATCH($A97, 대여현황!$A:$A, 0)), "-")</f>
        <v>-</v>
      </c>
    </row>
    <row r="98" spans="1:6" ht="20" customHeight="1">
      <c r="A98" s="15">
        <v>206</v>
      </c>
      <c r="B98" s="16" t="s">
        <v>177</v>
      </c>
      <c r="C98" s="9" t="str">
        <f>IF(ISNUMBER(MATCH($A98, 대여현황!$A:$A, 0)), INDEX(대여현황!C:C, MATCH($A98, 대여현황!$A:$A, 0)), "")</f>
        <v/>
      </c>
      <c r="D98" s="9" t="str">
        <f>IF(ISNUMBER(MATCH($A98, 대여현황!$A:$A, 0)), INDEX(대여현황!D:D, MATCH($A98, 대여현황!$A:$A, 0)), "")</f>
        <v/>
      </c>
      <c r="E98" s="10" t="str">
        <f>IF(ISNUMBER(MATCH($A98, 대여현황!$A:$A, 0)), INDEX(대여현황!E:E, MATCH($A98, 대여현황!$A:$A, 0)), "")</f>
        <v/>
      </c>
      <c r="F98" s="10" t="str">
        <f>IF(ISNUMBER(MATCH($A98, 대여현황!$A:$A, 0)), INDEX(대여현황!F:F, MATCH($A98, 대여현황!$A:$A, 0)), "-")</f>
        <v>-</v>
      </c>
    </row>
    <row r="99" spans="1:6" ht="20" customHeight="1">
      <c r="A99" s="15">
        <v>207</v>
      </c>
      <c r="B99" s="16" t="s">
        <v>178</v>
      </c>
      <c r="C99" s="9" t="str">
        <f>IF(ISNUMBER(MATCH($A99, 대여현황!$A:$A, 0)), INDEX(대여현황!C:C, MATCH($A99, 대여현황!$A:$A, 0)), "")</f>
        <v/>
      </c>
      <c r="D99" s="9" t="str">
        <f>IF(ISNUMBER(MATCH($A99, 대여현황!$A:$A, 0)), INDEX(대여현황!D:D, MATCH($A99, 대여현황!$A:$A, 0)), "")</f>
        <v/>
      </c>
      <c r="E99" s="10" t="str">
        <f>IF(ISNUMBER(MATCH($A99, 대여현황!$A:$A, 0)), INDEX(대여현황!E:E, MATCH($A99, 대여현황!$A:$A, 0)), "")</f>
        <v/>
      </c>
      <c r="F99" s="10" t="str">
        <f>IF(ISNUMBER(MATCH($A99, 대여현황!$A:$A, 0)), INDEX(대여현황!F:F, MATCH($A99, 대여현황!$A:$A, 0)), "-")</f>
        <v>-</v>
      </c>
    </row>
    <row r="100" spans="1:6" ht="20" customHeight="1">
      <c r="A100" s="15">
        <v>208</v>
      </c>
      <c r="B100" s="16" t="s">
        <v>178</v>
      </c>
      <c r="C100" s="9" t="str">
        <f>IF(ISNUMBER(MATCH($A100, 대여현황!$A:$A, 0)), INDEX(대여현황!C:C, MATCH($A100, 대여현황!$A:$A, 0)), "")</f>
        <v/>
      </c>
      <c r="D100" s="9" t="str">
        <f>IF(ISNUMBER(MATCH($A100, 대여현황!$A:$A, 0)), INDEX(대여현황!D:D, MATCH($A100, 대여현황!$A:$A, 0)), "")</f>
        <v/>
      </c>
      <c r="E100" s="10" t="str">
        <f>IF(ISNUMBER(MATCH($A100, 대여현황!$A:$A, 0)), INDEX(대여현황!E:E, MATCH($A100, 대여현황!$A:$A, 0)), "")</f>
        <v/>
      </c>
      <c r="F100" s="10" t="str">
        <f>IF(ISNUMBER(MATCH($A100, 대여현황!$A:$A, 0)), INDEX(대여현황!F:F, MATCH($A100, 대여현황!$A:$A, 0)), "-")</f>
        <v>-</v>
      </c>
    </row>
    <row r="101" spans="1:6" ht="20" customHeight="1">
      <c r="A101" s="15">
        <v>209</v>
      </c>
      <c r="B101" s="16" t="s">
        <v>188</v>
      </c>
      <c r="C101" s="9" t="str">
        <f>IF(ISNUMBER(MATCH($A101, 대여현황!$A:$A, 0)), INDEX(대여현황!C:C, MATCH($A101, 대여현황!$A:$A, 0)), "")</f>
        <v/>
      </c>
      <c r="D101" s="9" t="str">
        <f>IF(ISNUMBER(MATCH($A101, 대여현황!$A:$A, 0)), INDEX(대여현황!D:D, MATCH($A101, 대여현황!$A:$A, 0)), "")</f>
        <v/>
      </c>
      <c r="E101" s="10" t="str">
        <f>IF(ISNUMBER(MATCH($A101, 대여현황!$A:$A, 0)), INDEX(대여현황!E:E, MATCH($A101, 대여현황!$A:$A, 0)), "")</f>
        <v/>
      </c>
      <c r="F101" s="10" t="str">
        <f>IF(ISNUMBER(MATCH($A101, 대여현황!$A:$A, 0)), INDEX(대여현황!F:F, MATCH($A101, 대여현황!$A:$A, 0)), "-")</f>
        <v>-</v>
      </c>
    </row>
    <row r="102" spans="1:6" ht="20" customHeight="1">
      <c r="A102" s="9">
        <v>210</v>
      </c>
      <c r="B102" s="3" t="s">
        <v>188</v>
      </c>
      <c r="C102" s="9" t="str">
        <f>IF(ISNUMBER(MATCH($A102, 대여현황!$A:$A, 0)), INDEX(대여현황!C:C, MATCH($A102, 대여현황!$A:$A, 0)), "")</f>
        <v/>
      </c>
      <c r="D102" s="9" t="str">
        <f>IF(ISNUMBER(MATCH($A102, 대여현황!$A:$A, 0)), INDEX(대여현황!D:D, MATCH($A102, 대여현황!$A:$A, 0)), "")</f>
        <v/>
      </c>
      <c r="E102" s="10" t="str">
        <f>IF(ISNUMBER(MATCH($A102, 대여현황!$A:$A, 0)), INDEX(대여현황!E:E, MATCH($A102, 대여현황!$A:$A, 0)), "")</f>
        <v/>
      </c>
      <c r="F102" s="10" t="str">
        <f>IF(ISNUMBER(MATCH($A102, 대여현황!$A:$A, 0)), INDEX(대여현황!F:F, MATCH($A102, 대여현황!$A:$A, 0)), "-")</f>
        <v>-</v>
      </c>
    </row>
    <row r="103" spans="1:6" ht="20" customHeight="1">
      <c r="A103" s="9">
        <v>211</v>
      </c>
      <c r="B103" s="3" t="s">
        <v>182</v>
      </c>
      <c r="C103" s="9" t="str">
        <f>IF(ISNUMBER(MATCH($A103, 대여현황!$A:$A, 0)), INDEX(대여현황!C:C, MATCH($A103, 대여현황!$A:$A, 0)), "")</f>
        <v/>
      </c>
      <c r="D103" s="9" t="str">
        <f>IF(ISNUMBER(MATCH($A103, 대여현황!$A:$A, 0)), INDEX(대여현황!D:D, MATCH($A103, 대여현황!$A:$A, 0)), "")</f>
        <v/>
      </c>
      <c r="E103" s="10" t="str">
        <f>IF(ISNUMBER(MATCH($A103, 대여현황!$A:$A, 0)), INDEX(대여현황!E:E, MATCH($A103, 대여현황!$A:$A, 0)), "")</f>
        <v/>
      </c>
      <c r="F103" s="10" t="str">
        <f>IF(ISNUMBER(MATCH($A103, 대여현황!$A:$A, 0)), INDEX(대여현황!F:F, MATCH($A103, 대여현황!$A:$A, 0)), "-")</f>
        <v>-</v>
      </c>
    </row>
    <row r="104" spans="1:6" ht="20" customHeight="1">
      <c r="A104" s="9">
        <v>212</v>
      </c>
      <c r="B104" s="3" t="s">
        <v>182</v>
      </c>
      <c r="C104" s="9" t="str">
        <f>IF(ISNUMBER(MATCH($A104, 대여현황!$A:$A, 0)), INDEX(대여현황!C:C, MATCH($A104, 대여현황!$A:$A, 0)), "")</f>
        <v/>
      </c>
      <c r="D104" s="9" t="str">
        <f>IF(ISNUMBER(MATCH($A104, 대여현황!$A:$A, 0)), INDEX(대여현황!D:D, MATCH($A104, 대여현황!$A:$A, 0)), "")</f>
        <v/>
      </c>
      <c r="E104" s="10" t="str">
        <f>IF(ISNUMBER(MATCH($A104, 대여현황!$A:$A, 0)), INDEX(대여현황!E:E, MATCH($A104, 대여현황!$A:$A, 0)), "")</f>
        <v/>
      </c>
      <c r="F104" s="10" t="str">
        <f>IF(ISNUMBER(MATCH($A104, 대여현황!$A:$A, 0)), INDEX(대여현황!F:F, MATCH($A104, 대여현황!$A:$A, 0)), "-")</f>
        <v>-</v>
      </c>
    </row>
    <row r="105" spans="1:6" ht="20" customHeight="1">
      <c r="A105" s="9">
        <v>213</v>
      </c>
      <c r="B105" s="3" t="s">
        <v>191</v>
      </c>
      <c r="C105" s="9" t="str">
        <f>IF(ISNUMBER(MATCH($A105, 대여현황!$A:$A, 0)), INDEX(대여현황!C:C, MATCH($A105, 대여현황!$A:$A, 0)), "")</f>
        <v/>
      </c>
      <c r="D105" s="9" t="str">
        <f>IF(ISNUMBER(MATCH($A105, 대여현황!$A:$A, 0)), INDEX(대여현황!D:D, MATCH($A105, 대여현황!$A:$A, 0)), "")</f>
        <v/>
      </c>
      <c r="E105" s="10" t="str">
        <f>IF(ISNUMBER(MATCH($A105, 대여현황!$A:$A, 0)), INDEX(대여현황!E:E, MATCH($A105, 대여현황!$A:$A, 0)), "")</f>
        <v/>
      </c>
      <c r="F105" s="10" t="str">
        <f>IF(ISNUMBER(MATCH($A105, 대여현황!$A:$A, 0)), INDEX(대여현황!F:F, MATCH($A105, 대여현황!$A:$A, 0)), "-")</f>
        <v>-</v>
      </c>
    </row>
    <row r="106" spans="1:6" ht="20" customHeight="1">
      <c r="A106" s="9">
        <v>214</v>
      </c>
      <c r="B106" s="3" t="s">
        <v>191</v>
      </c>
      <c r="C106" s="9" t="str">
        <f>IF(ISNUMBER(MATCH($A106, 대여현황!$A:$A, 0)), INDEX(대여현황!C:C, MATCH($A106, 대여현황!$A:$A, 0)), "")</f>
        <v/>
      </c>
      <c r="D106" s="9" t="str">
        <f>IF(ISNUMBER(MATCH($A106, 대여현황!$A:$A, 0)), INDEX(대여현황!D:D, MATCH($A106, 대여현황!$A:$A, 0)), "")</f>
        <v/>
      </c>
      <c r="E106" s="10" t="str">
        <f>IF(ISNUMBER(MATCH($A106, 대여현황!$A:$A, 0)), INDEX(대여현황!E:E, MATCH($A106, 대여현황!$A:$A, 0)), "")</f>
        <v/>
      </c>
      <c r="F106" s="10" t="str">
        <f>IF(ISNUMBER(MATCH($A106, 대여현황!$A:$A, 0)), INDEX(대여현황!F:F, MATCH($A106, 대여현황!$A:$A, 0)), "-")</f>
        <v>-</v>
      </c>
    </row>
    <row r="107" spans="1:6" ht="20" customHeight="1">
      <c r="A107" s="9">
        <v>215</v>
      </c>
      <c r="B107" s="3" t="s">
        <v>186</v>
      </c>
      <c r="C107" s="9" t="str">
        <f>IF(ISNUMBER(MATCH($A107, 대여현황!$A:$A, 0)), INDEX(대여현황!C:C, MATCH($A107, 대여현황!$A:$A, 0)), "")</f>
        <v/>
      </c>
      <c r="D107" s="9" t="str">
        <f>IF(ISNUMBER(MATCH($A107, 대여현황!$A:$A, 0)), INDEX(대여현황!D:D, MATCH($A107, 대여현황!$A:$A, 0)), "")</f>
        <v/>
      </c>
      <c r="E107" s="10" t="str">
        <f>IF(ISNUMBER(MATCH($A107, 대여현황!$A:$A, 0)), INDEX(대여현황!E:E, MATCH($A107, 대여현황!$A:$A, 0)), "")</f>
        <v/>
      </c>
      <c r="F107" s="10" t="str">
        <f>IF(ISNUMBER(MATCH($A107, 대여현황!$A:$A, 0)), INDEX(대여현황!F:F, MATCH($A107, 대여현황!$A:$A, 0)), "-")</f>
        <v>-</v>
      </c>
    </row>
    <row r="108" spans="1:6" ht="20" customHeight="1">
      <c r="A108" s="9">
        <v>216</v>
      </c>
      <c r="B108" s="3" t="s">
        <v>186</v>
      </c>
      <c r="C108" s="9" t="str">
        <f>IF(ISNUMBER(MATCH($A108, 대여현황!$A:$A, 0)), INDEX(대여현황!C:C, MATCH($A108, 대여현황!$A:$A, 0)), "")</f>
        <v/>
      </c>
      <c r="D108" s="9" t="str">
        <f>IF(ISNUMBER(MATCH($A108, 대여현황!$A:$A, 0)), INDEX(대여현황!D:D, MATCH($A108, 대여현황!$A:$A, 0)), "")</f>
        <v/>
      </c>
      <c r="E108" s="10" t="str">
        <f>IF(ISNUMBER(MATCH($A108, 대여현황!$A:$A, 0)), INDEX(대여현황!E:E, MATCH($A108, 대여현황!$A:$A, 0)), "")</f>
        <v/>
      </c>
      <c r="F108" s="10" t="str">
        <f>IF(ISNUMBER(MATCH($A108, 대여현황!$A:$A, 0)), INDEX(대여현황!F:F, MATCH($A108, 대여현황!$A:$A, 0)), "-")</f>
        <v>-</v>
      </c>
    </row>
    <row r="109" spans="1:6" ht="20" customHeight="1">
      <c r="A109" s="9">
        <v>217</v>
      </c>
      <c r="B109" s="3" t="s">
        <v>189</v>
      </c>
      <c r="C109" s="9" t="str">
        <f>IF(ISNUMBER(MATCH($A109, 대여현황!$A:$A, 0)), INDEX(대여현황!C:C, MATCH($A109, 대여현황!$A:$A, 0)), "")</f>
        <v/>
      </c>
      <c r="D109" s="9" t="str">
        <f>IF(ISNUMBER(MATCH($A109, 대여현황!$A:$A, 0)), INDEX(대여현황!D:D, MATCH($A109, 대여현황!$A:$A, 0)), "")</f>
        <v/>
      </c>
      <c r="E109" s="10" t="str">
        <f>IF(ISNUMBER(MATCH($A109, 대여현황!$A:$A, 0)), INDEX(대여현황!E:E, MATCH($A109, 대여현황!$A:$A, 0)), "")</f>
        <v/>
      </c>
      <c r="F109" s="10" t="str">
        <f>IF(ISNUMBER(MATCH($A109, 대여현황!$A:$A, 0)), INDEX(대여현황!F:F, MATCH($A109, 대여현황!$A:$A, 0)), "-")</f>
        <v>-</v>
      </c>
    </row>
    <row r="110" spans="1:6" ht="20" customHeight="1">
      <c r="A110" s="9">
        <v>218</v>
      </c>
      <c r="B110" s="3" t="s">
        <v>189</v>
      </c>
      <c r="C110" s="9" t="str">
        <f>IF(ISNUMBER(MATCH($A110, 대여현황!$A:$A, 0)), INDEX(대여현황!C:C, MATCH($A110, 대여현황!$A:$A, 0)), "")</f>
        <v/>
      </c>
      <c r="D110" s="9" t="str">
        <f>IF(ISNUMBER(MATCH($A110, 대여현황!$A:$A, 0)), INDEX(대여현황!D:D, MATCH($A110, 대여현황!$A:$A, 0)), "")</f>
        <v/>
      </c>
      <c r="E110" s="10" t="str">
        <f>IF(ISNUMBER(MATCH($A110, 대여현황!$A:$A, 0)), INDEX(대여현황!E:E, MATCH($A110, 대여현황!$A:$A, 0)), "")</f>
        <v/>
      </c>
      <c r="F110" s="10" t="str">
        <f>IF(ISNUMBER(MATCH($A110, 대여현황!$A:$A, 0)), INDEX(대여현황!F:F, MATCH($A110, 대여현황!$A:$A, 0)), "-")</f>
        <v>-</v>
      </c>
    </row>
    <row r="111" spans="1:6" ht="20" customHeight="1">
      <c r="A111" s="9">
        <v>219</v>
      </c>
      <c r="B111" s="3" t="s">
        <v>185</v>
      </c>
      <c r="C111" s="9" t="str">
        <f>IF(ISNUMBER(MATCH($A111, 대여현황!$A:$A, 0)), INDEX(대여현황!C:C, MATCH($A111, 대여현황!$A:$A, 0)), "")</f>
        <v/>
      </c>
      <c r="D111" s="9" t="str">
        <f>IF(ISNUMBER(MATCH($A111, 대여현황!$A:$A, 0)), INDEX(대여현황!D:D, MATCH($A111, 대여현황!$A:$A, 0)), "")</f>
        <v/>
      </c>
      <c r="E111" s="10" t="str">
        <f>IF(ISNUMBER(MATCH($A111, 대여현황!$A:$A, 0)), INDEX(대여현황!E:E, MATCH($A111, 대여현황!$A:$A, 0)), "")</f>
        <v/>
      </c>
      <c r="F111" s="10" t="str">
        <f>IF(ISNUMBER(MATCH($A111, 대여현황!$A:$A, 0)), INDEX(대여현황!F:F, MATCH($A111, 대여현황!$A:$A, 0)), "-")</f>
        <v>-</v>
      </c>
    </row>
    <row r="112" spans="1:6" ht="20" customHeight="1">
      <c r="A112" s="9">
        <v>220</v>
      </c>
      <c r="B112" s="3" t="s">
        <v>185</v>
      </c>
      <c r="C112" s="9" t="str">
        <f>IF(ISNUMBER(MATCH($A112, 대여현황!$A:$A, 0)), INDEX(대여현황!C:C, MATCH($A112, 대여현황!$A:$A, 0)), "")</f>
        <v/>
      </c>
      <c r="D112" s="9" t="str">
        <f>IF(ISNUMBER(MATCH($A112, 대여현황!$A:$A, 0)), INDEX(대여현황!D:D, MATCH($A112, 대여현황!$A:$A, 0)), "")</f>
        <v/>
      </c>
      <c r="E112" s="10" t="str">
        <f>IF(ISNUMBER(MATCH($A112, 대여현황!$A:$A, 0)), INDEX(대여현황!E:E, MATCH($A112, 대여현황!$A:$A, 0)), "")</f>
        <v/>
      </c>
      <c r="F112" s="10" t="str">
        <f>IF(ISNUMBER(MATCH($A112, 대여현황!$A:$A, 0)), INDEX(대여현황!F:F, MATCH($A112, 대여현황!$A:$A, 0)), "-")</f>
        <v>-</v>
      </c>
    </row>
    <row r="113" spans="1:6" ht="20" customHeight="1">
      <c r="A113" s="9"/>
      <c r="B113" s="3"/>
      <c r="C113" s="9" t="str">
        <f>IF(ISNUMBER(MATCH($A113, 대여현황!$A:$A, 0)), INDEX(대여현황!C:C, MATCH($A113, 대여현황!$A:$A, 0)), "")</f>
        <v/>
      </c>
      <c r="D113" s="9" t="str">
        <f>IF(ISNUMBER(MATCH($A113, 대여현황!$A:$A, 0)), INDEX(대여현황!D:D, MATCH($A113, 대여현황!$A:$A, 0)), "")</f>
        <v/>
      </c>
      <c r="E113" s="10" t="str">
        <f>IF(ISNUMBER(MATCH($A113, 대여현황!$A:$A, 0)), INDEX(대여현황!E:E, MATCH($A113, 대여현황!$A:$A, 0)), "")</f>
        <v/>
      </c>
      <c r="F113" s="10" t="str">
        <f>IF(ISNUMBER(MATCH($A113, 대여현황!$A:$A, 0)), INDEX(대여현황!F:F, MATCH($A113, 대여현황!$A:$A, 0)), "-")</f>
        <v>-</v>
      </c>
    </row>
    <row r="114" spans="1:6" ht="20" customHeight="1">
      <c r="A114" s="9"/>
      <c r="B114" s="3"/>
      <c r="C114" s="9" t="str">
        <f>IF(ISNUMBER(MATCH($A114, 대여현황!$A:$A, 0)), INDEX(대여현황!C:C, MATCH($A114, 대여현황!$A:$A, 0)), "")</f>
        <v/>
      </c>
      <c r="D114" s="9" t="str">
        <f>IF(ISNUMBER(MATCH($A114, 대여현황!$A:$A, 0)), INDEX(대여현황!D:D, MATCH($A114, 대여현황!$A:$A, 0)), "")</f>
        <v/>
      </c>
      <c r="E114" s="10" t="str">
        <f>IF(ISNUMBER(MATCH($A114, 대여현황!$A:$A, 0)), INDEX(대여현황!E:E, MATCH($A114, 대여현황!$A:$A, 0)), "")</f>
        <v/>
      </c>
      <c r="F114" s="10" t="str">
        <f>IF(ISNUMBER(MATCH($A114, 대여현황!$A:$A, 0)), INDEX(대여현황!F:F, MATCH($A114, 대여현황!$A:$A, 0)), "-")</f>
        <v>-</v>
      </c>
    </row>
    <row r="115" spans="1:6" ht="20" customHeight="1">
      <c r="A115" s="9"/>
      <c r="B115" s="3"/>
      <c r="C115" s="9" t="str">
        <f>IF(ISNUMBER(MATCH($A115, 대여현황!$A:$A, 0)), INDEX(대여현황!C:C, MATCH($A115, 대여현황!$A:$A, 0)), "")</f>
        <v/>
      </c>
      <c r="D115" s="9" t="str">
        <f>IF(ISNUMBER(MATCH($A115, 대여현황!$A:$A, 0)), INDEX(대여현황!D:D, MATCH($A115, 대여현황!$A:$A, 0)), "")</f>
        <v/>
      </c>
      <c r="E115" s="10" t="str">
        <f>IF(ISNUMBER(MATCH($A115, 대여현황!$A:$A, 0)), INDEX(대여현황!E:E, MATCH($A115, 대여현황!$A:$A, 0)), "")</f>
        <v/>
      </c>
      <c r="F115" s="10" t="str">
        <f>IF(ISNUMBER(MATCH($A115, 대여현황!$A:$A, 0)), INDEX(대여현황!F:F, MATCH($A115, 대여현황!$A:$A, 0)), "-")</f>
        <v>-</v>
      </c>
    </row>
    <row r="116" spans="1:6" ht="20" customHeight="1">
      <c r="A116" s="9"/>
      <c r="B116" s="3"/>
      <c r="C116" s="9" t="str">
        <f>IF(ISNUMBER(MATCH($A116, 대여현황!$A:$A, 0)), INDEX(대여현황!C:C, MATCH($A116, 대여현황!$A:$A, 0)), "")</f>
        <v/>
      </c>
      <c r="D116" s="9" t="str">
        <f>IF(ISNUMBER(MATCH($A116, 대여현황!$A:$A, 0)), INDEX(대여현황!D:D, MATCH($A116, 대여현황!$A:$A, 0)), "")</f>
        <v/>
      </c>
      <c r="E116" s="10" t="str">
        <f>IF(ISNUMBER(MATCH($A116, 대여현황!$A:$A, 0)), INDEX(대여현황!E:E, MATCH($A116, 대여현황!$A:$A, 0)), "")</f>
        <v/>
      </c>
      <c r="F116" s="10" t="str">
        <f>IF(ISNUMBER(MATCH($A116, 대여현황!$A:$A, 0)), INDEX(대여현황!F:F, MATCH($A116, 대여현황!$A:$A, 0)), "-")</f>
        <v>-</v>
      </c>
    </row>
    <row r="117" spans="1:6" ht="20" customHeight="1">
      <c r="A117" s="9"/>
      <c r="B117" s="3"/>
      <c r="C117" s="9" t="str">
        <f>IF(ISNUMBER(MATCH($A117, 대여현황!$A:$A, 0)), INDEX(대여현황!C:C, MATCH($A117, 대여현황!$A:$A, 0)), "")</f>
        <v/>
      </c>
      <c r="D117" s="9" t="str">
        <f>IF(ISNUMBER(MATCH($A117, 대여현황!$A:$A, 0)), INDEX(대여현황!D:D, MATCH($A117, 대여현황!$A:$A, 0)), "")</f>
        <v/>
      </c>
      <c r="E117" s="10" t="str">
        <f>IF(ISNUMBER(MATCH($A117, 대여현황!$A:$A, 0)), INDEX(대여현황!E:E, MATCH($A117, 대여현황!$A:$A, 0)), "")</f>
        <v/>
      </c>
      <c r="F117" s="10" t="str">
        <f>IF(ISNUMBER(MATCH($A117, 대여현황!$A:$A, 0)), INDEX(대여현황!F:F, MATCH($A117, 대여현황!$A:$A, 0)), "-")</f>
        <v>-</v>
      </c>
    </row>
    <row r="118" spans="1:6" ht="20" customHeight="1">
      <c r="A118" s="9"/>
      <c r="B118" s="3"/>
      <c r="C118" s="9" t="str">
        <f>IF(ISNUMBER(MATCH($A118, 대여현황!$A:$A, 0)), INDEX(대여현황!C:C, MATCH($A118, 대여현황!$A:$A, 0)), "")</f>
        <v/>
      </c>
      <c r="D118" s="9" t="str">
        <f>IF(ISNUMBER(MATCH($A118, 대여현황!$A:$A, 0)), INDEX(대여현황!D:D, MATCH($A118, 대여현황!$A:$A, 0)), "")</f>
        <v/>
      </c>
      <c r="E118" s="10" t="str">
        <f>IF(ISNUMBER(MATCH($A118, 대여현황!$A:$A, 0)), INDEX(대여현황!E:E, MATCH($A118, 대여현황!$A:$A, 0)), "")</f>
        <v/>
      </c>
      <c r="F118" s="10" t="str">
        <f>IF(ISNUMBER(MATCH($A118, 대여현황!$A:$A, 0)), INDEX(대여현황!F:F, MATCH($A118, 대여현황!$A:$A, 0)), "-")</f>
        <v>-</v>
      </c>
    </row>
    <row r="119" spans="1:6" ht="20" customHeight="1">
      <c r="A119" s="9"/>
      <c r="B119" s="3"/>
      <c r="C119" s="9" t="str">
        <f>IF(ISNUMBER(MATCH($A119, 대여현황!$A:$A, 0)), INDEX(대여현황!C:C, MATCH($A119, 대여현황!$A:$A, 0)), "")</f>
        <v/>
      </c>
      <c r="D119" s="9" t="str">
        <f>IF(ISNUMBER(MATCH($A119, 대여현황!$A:$A, 0)), INDEX(대여현황!D:D, MATCH($A119, 대여현황!$A:$A, 0)), "")</f>
        <v/>
      </c>
      <c r="E119" s="10" t="str">
        <f>IF(ISNUMBER(MATCH($A119, 대여현황!$A:$A, 0)), INDEX(대여현황!E:E, MATCH($A119, 대여현황!$A:$A, 0)), "")</f>
        <v/>
      </c>
      <c r="F119" s="10" t="str">
        <f>IF(ISNUMBER(MATCH($A119, 대여현황!$A:$A, 0)), INDEX(대여현황!F:F, MATCH($A119, 대여현황!$A:$A, 0)), "-")</f>
        <v>-</v>
      </c>
    </row>
    <row r="120" spans="1:6" ht="20" customHeight="1">
      <c r="A120" s="9"/>
      <c r="B120" s="3"/>
      <c r="C120" s="9" t="str">
        <f>IF(ISNUMBER(MATCH($A120, 대여현황!$A:$A, 0)), INDEX(대여현황!C:C, MATCH($A120, 대여현황!$A:$A, 0)), "")</f>
        <v/>
      </c>
      <c r="D120" s="9" t="str">
        <f>IF(ISNUMBER(MATCH($A120, 대여현황!$A:$A, 0)), INDEX(대여현황!D:D, MATCH($A120, 대여현황!$A:$A, 0)), "")</f>
        <v/>
      </c>
      <c r="E120" s="10" t="str">
        <f>IF(ISNUMBER(MATCH($A120, 대여현황!$A:$A, 0)), INDEX(대여현황!E:E, MATCH($A120, 대여현황!$A:$A, 0)), "")</f>
        <v/>
      </c>
      <c r="F120" s="10" t="str">
        <f>IF(ISNUMBER(MATCH($A120, 대여현황!$A:$A, 0)), INDEX(대여현황!F:F, MATCH($A120, 대여현황!$A:$A, 0)), "-")</f>
        <v>-</v>
      </c>
    </row>
    <row r="121" spans="1:6" ht="20" customHeight="1">
      <c r="A121" s="9"/>
      <c r="B121" s="3"/>
      <c r="C121" s="9" t="str">
        <f>IF(ISNUMBER(MATCH($A121, 대여현황!$A:$A, 0)), INDEX(대여현황!C:C, MATCH($A121, 대여현황!$A:$A, 0)), "")</f>
        <v/>
      </c>
      <c r="D121" s="9" t="str">
        <f>IF(ISNUMBER(MATCH($A121, 대여현황!$A:$A, 0)), INDEX(대여현황!D:D, MATCH($A121, 대여현황!$A:$A, 0)), "")</f>
        <v/>
      </c>
      <c r="E121" s="10" t="str">
        <f>IF(ISNUMBER(MATCH($A121, 대여현황!$A:$A, 0)), INDEX(대여현황!E:E, MATCH($A121, 대여현황!$A:$A, 0)), "")</f>
        <v/>
      </c>
      <c r="F121" s="10" t="str">
        <f>IF(ISNUMBER(MATCH($A121, 대여현황!$A:$A, 0)), INDEX(대여현황!F:F, MATCH($A121, 대여현황!$A:$A, 0)), "-")</f>
        <v>-</v>
      </c>
    </row>
    <row r="122" spans="1:6" ht="20" customHeight="1">
      <c r="A122" s="9"/>
      <c r="B122" s="3"/>
      <c r="C122" s="9" t="str">
        <f>IF(ISNUMBER(MATCH($A122, 대여현황!$A:$A, 0)), INDEX(대여현황!C:C, MATCH($A122, 대여현황!$A:$A, 0)), "")</f>
        <v/>
      </c>
      <c r="D122" s="9" t="str">
        <f>IF(ISNUMBER(MATCH($A122, 대여현황!$A:$A, 0)), INDEX(대여현황!D:D, MATCH($A122, 대여현황!$A:$A, 0)), "")</f>
        <v/>
      </c>
      <c r="E122" s="10" t="str">
        <f>IF(ISNUMBER(MATCH($A122, 대여현황!$A:$A, 0)), INDEX(대여현황!E:E, MATCH($A122, 대여현황!$A:$A, 0)), "")</f>
        <v/>
      </c>
      <c r="F122" s="10" t="str">
        <f>IF(ISNUMBER(MATCH($A122, 대여현황!$A:$A, 0)), INDEX(대여현황!F:F, MATCH($A122, 대여현황!$A:$A, 0)), "-")</f>
        <v>-</v>
      </c>
    </row>
    <row r="123" spans="1:6" ht="20" customHeight="1">
      <c r="A123" s="9"/>
      <c r="B123" s="3"/>
      <c r="C123" s="9" t="str">
        <f>IF(ISNUMBER(MATCH($A123, 대여현황!$A:$A, 0)), INDEX(대여현황!C:C, MATCH($A123, 대여현황!$A:$A, 0)), "")</f>
        <v/>
      </c>
      <c r="D123" s="9" t="str">
        <f>IF(ISNUMBER(MATCH($A123, 대여현황!$A:$A, 0)), INDEX(대여현황!D:D, MATCH($A123, 대여현황!$A:$A, 0)), "")</f>
        <v/>
      </c>
      <c r="E123" s="10" t="str">
        <f>IF(ISNUMBER(MATCH($A123, 대여현황!$A:$A, 0)), INDEX(대여현황!E:E, MATCH($A123, 대여현황!$A:$A, 0)), "")</f>
        <v/>
      </c>
      <c r="F123" s="10" t="str">
        <f>IF(ISNUMBER(MATCH($A123, 대여현황!$A:$A, 0)), INDEX(대여현황!F:F, MATCH($A123, 대여현황!$A:$A, 0)), "-")</f>
        <v>-</v>
      </c>
    </row>
    <row r="124" spans="1:6" ht="20" customHeight="1">
      <c r="A124" s="9"/>
      <c r="B124" s="3"/>
      <c r="C124" s="9" t="str">
        <f>IF(ISNUMBER(MATCH($A124, 대여현황!$A:$A, 0)), INDEX(대여현황!C:C, MATCH($A124, 대여현황!$A:$A, 0)), "")</f>
        <v/>
      </c>
      <c r="D124" s="9" t="str">
        <f>IF(ISNUMBER(MATCH($A124, 대여현황!$A:$A, 0)), INDEX(대여현황!D:D, MATCH($A124, 대여현황!$A:$A, 0)), "")</f>
        <v/>
      </c>
      <c r="E124" s="10" t="str">
        <f>IF(ISNUMBER(MATCH($A124, 대여현황!$A:$A, 0)), INDEX(대여현황!E:E, MATCH($A124, 대여현황!$A:$A, 0)), "")</f>
        <v/>
      </c>
      <c r="F124" s="10" t="str">
        <f>IF(ISNUMBER(MATCH($A124, 대여현황!$A:$A, 0)), INDEX(대여현황!F:F, MATCH($A124, 대여현황!$A:$A, 0)), "-")</f>
        <v>-</v>
      </c>
    </row>
    <row r="125" spans="1:6" ht="20" customHeight="1">
      <c r="A125" s="9"/>
      <c r="B125" s="3"/>
      <c r="C125" s="9" t="str">
        <f>IF(ISNUMBER(MATCH($A125, 대여현황!$A:$A, 0)), INDEX(대여현황!C:C, MATCH($A125, 대여현황!$A:$A, 0)), "")</f>
        <v/>
      </c>
      <c r="D125" s="9" t="str">
        <f>IF(ISNUMBER(MATCH($A125, 대여현황!$A:$A, 0)), INDEX(대여현황!D:D, MATCH($A125, 대여현황!$A:$A, 0)), "")</f>
        <v/>
      </c>
      <c r="E125" s="10" t="str">
        <f>IF(ISNUMBER(MATCH($A125, 대여현황!$A:$A, 0)), INDEX(대여현황!E:E, MATCH($A125, 대여현황!$A:$A, 0)), "")</f>
        <v/>
      </c>
      <c r="F125" s="10" t="str">
        <f>IF(ISNUMBER(MATCH($A125, 대여현황!$A:$A, 0)), INDEX(대여현황!F:F, MATCH($A125, 대여현황!$A:$A, 0)), "-")</f>
        <v>-</v>
      </c>
    </row>
    <row r="126" spans="1:6" ht="20" customHeight="1">
      <c r="A126" s="9"/>
      <c r="B126" s="3"/>
      <c r="C126" s="9" t="str">
        <f>IF(ISNUMBER(MATCH($A126, 대여현황!$A:$A, 0)), INDEX(대여현황!C:C, MATCH($A126, 대여현황!$A:$A, 0)), "")</f>
        <v/>
      </c>
      <c r="D126" s="9" t="str">
        <f>IF(ISNUMBER(MATCH($A126, 대여현황!$A:$A, 0)), INDEX(대여현황!D:D, MATCH($A126, 대여현황!$A:$A, 0)), "")</f>
        <v/>
      </c>
      <c r="E126" s="10" t="str">
        <f>IF(ISNUMBER(MATCH($A126, 대여현황!$A:$A, 0)), INDEX(대여현황!E:E, MATCH($A126, 대여현황!$A:$A, 0)), "")</f>
        <v/>
      </c>
      <c r="F126" s="10" t="str">
        <f>IF(ISNUMBER(MATCH($A126, 대여현황!$A:$A, 0)), INDEX(대여현황!F:F, MATCH($A126, 대여현황!$A:$A, 0)), "-")</f>
        <v>-</v>
      </c>
    </row>
    <row r="127" spans="1:6" ht="20" customHeight="1">
      <c r="A127" s="9"/>
      <c r="B127" s="3"/>
      <c r="C127" s="9" t="str">
        <f>IF(ISNUMBER(MATCH($A127, 대여현황!$A:$A, 0)), INDEX(대여현황!C:C, MATCH($A127, 대여현황!$A:$A, 0)), "")</f>
        <v/>
      </c>
      <c r="D127" s="9" t="str">
        <f>IF(ISNUMBER(MATCH($A127, 대여현황!$A:$A, 0)), INDEX(대여현황!D:D, MATCH($A127, 대여현황!$A:$A, 0)), "")</f>
        <v/>
      </c>
      <c r="E127" s="10" t="str">
        <f>IF(ISNUMBER(MATCH($A127, 대여현황!$A:$A, 0)), INDEX(대여현황!E:E, MATCH($A127, 대여현황!$A:$A, 0)), "")</f>
        <v/>
      </c>
      <c r="F127" s="10" t="str">
        <f>IF(ISNUMBER(MATCH($A127, 대여현황!$A:$A, 0)), INDEX(대여현황!F:F, MATCH($A127, 대여현황!$A:$A, 0)), "-")</f>
        <v>-</v>
      </c>
    </row>
    <row r="128" spans="1:6" ht="20" customHeight="1">
      <c r="A128" s="9"/>
      <c r="B128" s="3"/>
      <c r="C128" s="9" t="str">
        <f>IF(ISNUMBER(MATCH($A128, 대여현황!$A:$A, 0)), INDEX(대여현황!C:C, MATCH($A128, 대여현황!$A:$A, 0)), "")</f>
        <v/>
      </c>
      <c r="D128" s="9" t="str">
        <f>IF(ISNUMBER(MATCH($A128, 대여현황!$A:$A, 0)), INDEX(대여현황!D:D, MATCH($A128, 대여현황!$A:$A, 0)), "")</f>
        <v/>
      </c>
      <c r="E128" s="10" t="str">
        <f>IF(ISNUMBER(MATCH($A128, 대여현황!$A:$A, 0)), INDEX(대여현황!E:E, MATCH($A128, 대여현황!$A:$A, 0)), "")</f>
        <v/>
      </c>
      <c r="F128" s="10" t="str">
        <f>IF(ISNUMBER(MATCH($A128, 대여현황!$A:$A, 0)), INDEX(대여현황!F:F, MATCH($A128, 대여현황!$A:$A, 0)), "-")</f>
        <v>-</v>
      </c>
    </row>
    <row r="129" spans="1:6" ht="20" customHeight="1">
      <c r="A129" s="9"/>
      <c r="B129" s="3"/>
      <c r="C129" s="9" t="str">
        <f>IF(ISNUMBER(MATCH($A129, 대여현황!$A:$A, 0)), INDEX(대여현황!C:C, MATCH($A129, 대여현황!$A:$A, 0)), "")</f>
        <v/>
      </c>
      <c r="D129" s="9" t="str">
        <f>IF(ISNUMBER(MATCH($A129, 대여현황!$A:$A, 0)), INDEX(대여현황!D:D, MATCH($A129, 대여현황!$A:$A, 0)), "")</f>
        <v/>
      </c>
      <c r="E129" s="10" t="str">
        <f>IF(ISNUMBER(MATCH($A129, 대여현황!$A:$A, 0)), INDEX(대여현황!E:E, MATCH($A129, 대여현황!$A:$A, 0)), "")</f>
        <v/>
      </c>
      <c r="F129" s="10" t="str">
        <f>IF(ISNUMBER(MATCH($A129, 대여현황!$A:$A, 0)), INDEX(대여현황!F:F, MATCH($A129, 대여현황!$A:$A, 0)), "-")</f>
        <v>-</v>
      </c>
    </row>
    <row r="130" spans="1:6" ht="20" customHeight="1">
      <c r="A130" s="9"/>
      <c r="B130" s="3"/>
      <c r="C130" s="9" t="str">
        <f>IF(ISNUMBER(MATCH($A130, 대여현황!$A:$A, 0)), INDEX(대여현황!C:C, MATCH($A130, 대여현황!$A:$A, 0)), "")</f>
        <v/>
      </c>
      <c r="D130" s="9" t="str">
        <f>IF(ISNUMBER(MATCH($A130, 대여현황!$A:$A, 0)), INDEX(대여현황!D:D, MATCH($A130, 대여현황!$A:$A, 0)), "")</f>
        <v/>
      </c>
      <c r="E130" s="10" t="str">
        <f>IF(ISNUMBER(MATCH($A130, 대여현황!$A:$A, 0)), INDEX(대여현황!E:E, MATCH($A130, 대여현황!$A:$A, 0)), "")</f>
        <v/>
      </c>
      <c r="F130" s="10" t="str">
        <f>IF(ISNUMBER(MATCH($A130, 대여현황!$A:$A, 0)), INDEX(대여현황!F:F, MATCH($A130, 대여현황!$A:$A, 0)), "-")</f>
        <v>-</v>
      </c>
    </row>
    <row r="131" spans="1:6" ht="20" customHeight="1">
      <c r="A131" s="9"/>
      <c r="B131" s="3"/>
      <c r="C131" s="9" t="str">
        <f>IF(ISNUMBER(MATCH($A131, 대여현황!$A:$A, 0)), INDEX(대여현황!C:C, MATCH($A131, 대여현황!$A:$A, 0)), "")</f>
        <v/>
      </c>
      <c r="D131" s="9" t="str">
        <f>IF(ISNUMBER(MATCH($A131, 대여현황!$A:$A, 0)), INDEX(대여현황!D:D, MATCH($A131, 대여현황!$A:$A, 0)), "")</f>
        <v/>
      </c>
      <c r="E131" s="10" t="str">
        <f>IF(ISNUMBER(MATCH($A131, 대여현황!$A:$A, 0)), INDEX(대여현황!E:E, MATCH($A131, 대여현황!$A:$A, 0)), "")</f>
        <v/>
      </c>
      <c r="F131" s="10" t="str">
        <f>IF(ISNUMBER(MATCH($A131, 대여현황!$A:$A, 0)), INDEX(대여현황!F:F, MATCH($A131, 대여현황!$A:$A, 0)), "-")</f>
        <v>-</v>
      </c>
    </row>
    <row r="132" spans="1:6" ht="20" customHeight="1">
      <c r="A132" s="9"/>
      <c r="B132" s="3"/>
      <c r="C132" s="9" t="str">
        <f>IF(ISNUMBER(MATCH($A132, 대여현황!$A:$A, 0)), INDEX(대여현황!C:C, MATCH($A132, 대여현황!$A:$A, 0)), "")</f>
        <v/>
      </c>
      <c r="D132" s="9" t="str">
        <f>IF(ISNUMBER(MATCH($A132, 대여현황!$A:$A, 0)), INDEX(대여현황!D:D, MATCH($A132, 대여현황!$A:$A, 0)), "")</f>
        <v/>
      </c>
      <c r="E132" s="10" t="str">
        <f>IF(ISNUMBER(MATCH($A132, 대여현황!$A:$A, 0)), INDEX(대여현황!E:E, MATCH($A132, 대여현황!$A:$A, 0)), "")</f>
        <v/>
      </c>
      <c r="F132" s="10" t="str">
        <f>IF(ISNUMBER(MATCH($A132, 대여현황!$A:$A, 0)), INDEX(대여현황!F:F, MATCH($A132, 대여현황!$A:$A, 0)), "-")</f>
        <v>-</v>
      </c>
    </row>
    <row r="133" spans="1:6" ht="20" customHeight="1">
      <c r="A133" s="9"/>
      <c r="B133" s="3"/>
      <c r="C133" s="9" t="str">
        <f>IF(ISNUMBER(MATCH($A133, 대여현황!$A:$A, 0)), INDEX(대여현황!C:C, MATCH($A133, 대여현황!$A:$A, 0)), "")</f>
        <v/>
      </c>
      <c r="D133" s="9" t="str">
        <f>IF(ISNUMBER(MATCH($A133, 대여현황!$A:$A, 0)), INDEX(대여현황!D:D, MATCH($A133, 대여현황!$A:$A, 0)), "")</f>
        <v/>
      </c>
      <c r="E133" s="10" t="str">
        <f>IF(ISNUMBER(MATCH($A133, 대여현황!$A:$A, 0)), INDEX(대여현황!E:E, MATCH($A133, 대여현황!$A:$A, 0)), "")</f>
        <v/>
      </c>
      <c r="F133" s="10" t="str">
        <f>IF(ISNUMBER(MATCH($A133, 대여현황!$A:$A, 0)), INDEX(대여현황!F:F, MATCH($A133, 대여현황!$A:$A, 0)), "-")</f>
        <v>-</v>
      </c>
    </row>
    <row r="134" spans="1:6" ht="20" customHeight="1">
      <c r="A134" s="9"/>
      <c r="B134" s="3"/>
      <c r="C134" s="9" t="str">
        <f>IF(ISNUMBER(MATCH($A134, 대여현황!$A:$A, 0)), INDEX(대여현황!C:C, MATCH($A134, 대여현황!$A:$A, 0)), "")</f>
        <v/>
      </c>
      <c r="D134" s="9" t="str">
        <f>IF(ISNUMBER(MATCH($A134, 대여현황!$A:$A, 0)), INDEX(대여현황!D:D, MATCH($A134, 대여현황!$A:$A, 0)), "")</f>
        <v/>
      </c>
      <c r="E134" s="10" t="str">
        <f>IF(ISNUMBER(MATCH($A134, 대여현황!$A:$A, 0)), INDEX(대여현황!E:E, MATCH($A134, 대여현황!$A:$A, 0)), "")</f>
        <v/>
      </c>
      <c r="F134" s="10" t="str">
        <f>IF(ISNUMBER(MATCH($A134, 대여현황!$A:$A, 0)), INDEX(대여현황!F:F, MATCH($A134, 대여현황!$A:$A, 0)), "-")</f>
        <v>-</v>
      </c>
    </row>
    <row r="135" spans="1:6" ht="20" customHeight="1">
      <c r="A135" s="9"/>
      <c r="B135" s="3"/>
      <c r="C135" s="9" t="str">
        <f>IF(ISNUMBER(MATCH($A135, 대여현황!$A:$A, 0)), INDEX(대여현황!C:C, MATCH($A135, 대여현황!$A:$A, 0)), "")</f>
        <v/>
      </c>
      <c r="D135" s="9" t="str">
        <f>IF(ISNUMBER(MATCH($A135, 대여현황!$A:$A, 0)), INDEX(대여현황!D:D, MATCH($A135, 대여현황!$A:$A, 0)), "")</f>
        <v/>
      </c>
      <c r="E135" s="10" t="str">
        <f>IF(ISNUMBER(MATCH($A135, 대여현황!$A:$A, 0)), INDEX(대여현황!E:E, MATCH($A135, 대여현황!$A:$A, 0)), "")</f>
        <v/>
      </c>
      <c r="F135" s="10" t="str">
        <f>IF(ISNUMBER(MATCH($A135, 대여현황!$A:$A, 0)), INDEX(대여현황!F:F, MATCH($A135, 대여현황!$A:$A, 0)), "-")</f>
        <v>-</v>
      </c>
    </row>
    <row r="136" spans="1:6" ht="20" customHeight="1">
      <c r="A136" s="9"/>
      <c r="B136" s="3"/>
      <c r="C136" s="9" t="str">
        <f>IF(ISNUMBER(MATCH($A136, 대여현황!$A:$A, 0)), INDEX(대여현황!C:C, MATCH($A136, 대여현황!$A:$A, 0)), "")</f>
        <v/>
      </c>
      <c r="D136" s="9" t="str">
        <f>IF(ISNUMBER(MATCH($A136, 대여현황!$A:$A, 0)), INDEX(대여현황!D:D, MATCH($A136, 대여현황!$A:$A, 0)), "")</f>
        <v/>
      </c>
      <c r="E136" s="10" t="str">
        <f>IF(ISNUMBER(MATCH($A136, 대여현황!$A:$A, 0)), INDEX(대여현황!E:E, MATCH($A136, 대여현황!$A:$A, 0)), "")</f>
        <v/>
      </c>
      <c r="F136" s="10" t="str">
        <f>IF(ISNUMBER(MATCH($A136, 대여현황!$A:$A, 0)), INDEX(대여현황!F:F, MATCH($A136, 대여현황!$A:$A, 0)), "-")</f>
        <v>-</v>
      </c>
    </row>
    <row r="137" spans="1:6" ht="20" customHeight="1">
      <c r="A137" s="9"/>
      <c r="B137" s="3"/>
      <c r="C137" s="9" t="str">
        <f>IF(ISNUMBER(MATCH($A137, 대여현황!$A:$A, 0)), INDEX(대여현황!C:C, MATCH($A137, 대여현황!$A:$A, 0)), "")</f>
        <v/>
      </c>
      <c r="D137" s="9" t="str">
        <f>IF(ISNUMBER(MATCH($A137, 대여현황!$A:$A, 0)), INDEX(대여현황!D:D, MATCH($A137, 대여현황!$A:$A, 0)), "")</f>
        <v/>
      </c>
      <c r="E137" s="10" t="str">
        <f>IF(ISNUMBER(MATCH($A137, 대여현황!$A:$A, 0)), INDEX(대여현황!E:E, MATCH($A137, 대여현황!$A:$A, 0)), "")</f>
        <v/>
      </c>
      <c r="F137" s="10" t="str">
        <f>IF(ISNUMBER(MATCH($A137, 대여현황!$A:$A, 0)), INDEX(대여현황!F:F, MATCH($A137, 대여현황!$A:$A, 0)), "-")</f>
        <v>-</v>
      </c>
    </row>
    <row r="138" spans="1:6" ht="20" customHeight="1">
      <c r="A138" s="9"/>
      <c r="B138" s="3"/>
      <c r="C138" s="9" t="str">
        <f>IF(ISNUMBER(MATCH($A138, 대여현황!$A:$A, 0)), INDEX(대여현황!C:C, MATCH($A138, 대여현황!$A:$A, 0)), "")</f>
        <v/>
      </c>
      <c r="D138" s="9" t="str">
        <f>IF(ISNUMBER(MATCH($A138, 대여현황!$A:$A, 0)), INDEX(대여현황!D:D, MATCH($A138, 대여현황!$A:$A, 0)), "")</f>
        <v/>
      </c>
      <c r="E138" s="10" t="str">
        <f>IF(ISNUMBER(MATCH($A138, 대여현황!$A:$A, 0)), INDEX(대여현황!E:E, MATCH($A138, 대여현황!$A:$A, 0)), "")</f>
        <v/>
      </c>
      <c r="F138" s="10" t="str">
        <f>IF(ISNUMBER(MATCH($A138, 대여현황!$A:$A, 0)), INDEX(대여현황!F:F, MATCH($A138, 대여현황!$A:$A, 0)), "-")</f>
        <v>-</v>
      </c>
    </row>
    <row r="139" spans="1:6" ht="20" customHeight="1">
      <c r="A139" s="9"/>
      <c r="B139" s="3"/>
      <c r="C139" s="9" t="str">
        <f>IF(ISNUMBER(MATCH($A139, 대여현황!$A:$A, 0)), INDEX(대여현황!C:C, MATCH($A139, 대여현황!$A:$A, 0)), "")</f>
        <v/>
      </c>
      <c r="D139" s="9" t="str">
        <f>IF(ISNUMBER(MATCH($A139, 대여현황!$A:$A, 0)), INDEX(대여현황!D:D, MATCH($A139, 대여현황!$A:$A, 0)), "")</f>
        <v/>
      </c>
      <c r="E139" s="10" t="str">
        <f>IF(ISNUMBER(MATCH($A139, 대여현황!$A:$A, 0)), INDEX(대여현황!E:E, MATCH($A139, 대여현황!$A:$A, 0)), "")</f>
        <v/>
      </c>
      <c r="F139" s="10" t="str">
        <f>IF(ISNUMBER(MATCH($A139, 대여현황!$A:$A, 0)), INDEX(대여현황!F:F, MATCH($A139, 대여현황!$A:$A, 0)), "-")</f>
        <v>-</v>
      </c>
    </row>
    <row r="140" spans="1:6" ht="20" customHeight="1">
      <c r="A140" s="9"/>
      <c r="B140" s="3"/>
      <c r="C140" s="9" t="str">
        <f>IF(ISNUMBER(MATCH($A140, 대여현황!$A:$A, 0)), INDEX(대여현황!C:C, MATCH($A140, 대여현황!$A:$A, 0)), "")</f>
        <v/>
      </c>
      <c r="D140" s="9" t="str">
        <f>IF(ISNUMBER(MATCH($A140, 대여현황!$A:$A, 0)), INDEX(대여현황!D:D, MATCH($A140, 대여현황!$A:$A, 0)), "")</f>
        <v/>
      </c>
      <c r="E140" s="10" t="str">
        <f>IF(ISNUMBER(MATCH($A140, 대여현황!$A:$A, 0)), INDEX(대여현황!E:E, MATCH($A140, 대여현황!$A:$A, 0)), "")</f>
        <v/>
      </c>
      <c r="F140" s="10" t="str">
        <f>IF(ISNUMBER(MATCH($A140, 대여현황!$A:$A, 0)), INDEX(대여현황!F:F, MATCH($A140, 대여현황!$A:$A, 0)), "-")</f>
        <v>-</v>
      </c>
    </row>
    <row r="141" spans="1:6" ht="20" customHeight="1">
      <c r="A141" s="9"/>
      <c r="B141" s="3"/>
      <c r="C141" s="9" t="str">
        <f>IF(ISNUMBER(MATCH($A141, 대여현황!$A:$A, 0)), INDEX(대여현황!C:C, MATCH($A141, 대여현황!$A:$A, 0)), "")</f>
        <v/>
      </c>
      <c r="D141" s="9" t="str">
        <f>IF(ISNUMBER(MATCH($A141, 대여현황!$A:$A, 0)), INDEX(대여현황!D:D, MATCH($A141, 대여현황!$A:$A, 0)), "")</f>
        <v/>
      </c>
      <c r="E141" s="10" t="str">
        <f>IF(ISNUMBER(MATCH($A141, 대여현황!$A:$A, 0)), INDEX(대여현황!E:E, MATCH($A141, 대여현황!$A:$A, 0)), "")</f>
        <v/>
      </c>
      <c r="F141" s="10" t="str">
        <f>IF(ISNUMBER(MATCH($A141, 대여현황!$A:$A, 0)), INDEX(대여현황!F:F, MATCH($A141, 대여현황!$A:$A, 0)), "-")</f>
        <v>-</v>
      </c>
    </row>
    <row r="142" spans="1:6" ht="20" customHeight="1">
      <c r="A142" s="9"/>
      <c r="B142" s="3"/>
      <c r="C142" s="9" t="str">
        <f>IF(ISNUMBER(MATCH($A142, 대여현황!$A:$A, 0)), INDEX(대여현황!C:C, MATCH($A142, 대여현황!$A:$A, 0)), "")</f>
        <v/>
      </c>
      <c r="D142" s="9" t="str">
        <f>IF(ISNUMBER(MATCH($A142, 대여현황!$A:$A, 0)), INDEX(대여현황!D:D, MATCH($A142, 대여현황!$A:$A, 0)), "")</f>
        <v/>
      </c>
      <c r="E142" s="10" t="str">
        <f>IF(ISNUMBER(MATCH($A142, 대여현황!$A:$A, 0)), INDEX(대여현황!E:E, MATCH($A142, 대여현황!$A:$A, 0)), "")</f>
        <v/>
      </c>
      <c r="F142" s="10" t="str">
        <f>IF(ISNUMBER(MATCH($A142, 대여현황!$A:$A, 0)), INDEX(대여현황!F:F, MATCH($A142, 대여현황!$A:$A, 0)), "-")</f>
        <v>-</v>
      </c>
    </row>
    <row r="143" spans="1:6" ht="20" customHeight="1">
      <c r="A143" s="9"/>
      <c r="B143" s="3"/>
      <c r="C143" s="9" t="str">
        <f>IF(ISNUMBER(MATCH($A143, 대여현황!$A:$A, 0)), INDEX(대여현황!C:C, MATCH($A143, 대여현황!$A:$A, 0)), "")</f>
        <v/>
      </c>
      <c r="D143" s="9" t="str">
        <f>IF(ISNUMBER(MATCH($A143, 대여현황!$A:$A, 0)), INDEX(대여현황!D:D, MATCH($A143, 대여현황!$A:$A, 0)), "")</f>
        <v/>
      </c>
      <c r="E143" s="10" t="str">
        <f>IF(ISNUMBER(MATCH($A143, 대여현황!$A:$A, 0)), INDEX(대여현황!E:E, MATCH($A143, 대여현황!$A:$A, 0)), "")</f>
        <v/>
      </c>
      <c r="F143" s="10" t="str">
        <f>IF(ISNUMBER(MATCH($A143, 대여현황!$A:$A, 0)), INDEX(대여현황!F:F, MATCH($A143, 대여현황!$A:$A, 0)), "-")</f>
        <v>-</v>
      </c>
    </row>
    <row r="144" spans="1:6" ht="20" customHeight="1">
      <c r="A144" s="9"/>
      <c r="B144" s="3"/>
      <c r="C144" s="9" t="str">
        <f>IF(ISNUMBER(MATCH($A144, 대여현황!$A:$A, 0)), INDEX(대여현황!C:C, MATCH($A144, 대여현황!$A:$A, 0)), "")</f>
        <v/>
      </c>
      <c r="D144" s="9" t="str">
        <f>IF(ISNUMBER(MATCH($A144, 대여현황!$A:$A, 0)), INDEX(대여현황!D:D, MATCH($A144, 대여현황!$A:$A, 0)), "")</f>
        <v/>
      </c>
      <c r="E144" s="10" t="str">
        <f>IF(ISNUMBER(MATCH($A144, 대여현황!$A:$A, 0)), INDEX(대여현황!E:E, MATCH($A144, 대여현황!$A:$A, 0)), "")</f>
        <v/>
      </c>
      <c r="F144" s="10" t="str">
        <f>IF(ISNUMBER(MATCH($A144, 대여현황!$A:$A, 0)), INDEX(대여현황!F:F, MATCH($A144, 대여현황!$A:$A, 0)), "-")</f>
        <v>-</v>
      </c>
    </row>
    <row r="145" spans="1:6" ht="20" customHeight="1">
      <c r="A145" s="9"/>
      <c r="B145" s="3"/>
      <c r="C145" s="9" t="str">
        <f>IF(ISNUMBER(MATCH($A145, 대여현황!$A:$A, 0)), INDEX(대여현황!C:C, MATCH($A145, 대여현황!$A:$A, 0)), "")</f>
        <v/>
      </c>
      <c r="D145" s="9" t="str">
        <f>IF(ISNUMBER(MATCH($A145, 대여현황!$A:$A, 0)), INDEX(대여현황!D:D, MATCH($A145, 대여현황!$A:$A, 0)), "")</f>
        <v/>
      </c>
      <c r="E145" s="10" t="str">
        <f>IF(ISNUMBER(MATCH($A145, 대여현황!$A:$A, 0)), INDEX(대여현황!E:E, MATCH($A145, 대여현황!$A:$A, 0)), "")</f>
        <v/>
      </c>
      <c r="F145" s="10" t="str">
        <f>IF(ISNUMBER(MATCH($A145, 대여현황!$A:$A, 0)), INDEX(대여현황!F:F, MATCH($A145, 대여현황!$A:$A, 0)), "-")</f>
        <v>-</v>
      </c>
    </row>
    <row r="146" spans="1:6" ht="20" customHeight="1">
      <c r="A146" s="9"/>
      <c r="B146" s="3"/>
      <c r="C146" s="9" t="str">
        <f>IF(ISNUMBER(MATCH($A146, 대여현황!$A:$A, 0)), INDEX(대여현황!C:C, MATCH($A146, 대여현황!$A:$A, 0)), "")</f>
        <v/>
      </c>
      <c r="D146" s="9" t="str">
        <f>IF(ISNUMBER(MATCH($A146, 대여현황!$A:$A, 0)), INDEX(대여현황!D:D, MATCH($A146, 대여현황!$A:$A, 0)), "")</f>
        <v/>
      </c>
      <c r="E146" s="10" t="str">
        <f>IF(ISNUMBER(MATCH($A146, 대여현황!$A:$A, 0)), INDEX(대여현황!E:E, MATCH($A146, 대여현황!$A:$A, 0)), "")</f>
        <v/>
      </c>
      <c r="F146" s="10" t="str">
        <f>IF(ISNUMBER(MATCH($A146, 대여현황!$A:$A, 0)), INDEX(대여현황!F:F, MATCH($A146, 대여현황!$A:$A, 0)), "-")</f>
        <v>-</v>
      </c>
    </row>
    <row r="147" spans="1:6" ht="20" customHeight="1">
      <c r="A147" s="9"/>
      <c r="B147" s="3"/>
      <c r="C147" s="9" t="str">
        <f>IF(ISNUMBER(MATCH($A147, 대여현황!$A:$A, 0)), INDEX(대여현황!C:C, MATCH($A147, 대여현황!$A:$A, 0)), "")</f>
        <v/>
      </c>
      <c r="D147" s="9" t="str">
        <f>IF(ISNUMBER(MATCH($A147, 대여현황!$A:$A, 0)), INDEX(대여현황!D:D, MATCH($A147, 대여현황!$A:$A, 0)), "")</f>
        <v/>
      </c>
      <c r="E147" s="10" t="str">
        <f>IF(ISNUMBER(MATCH($A147, 대여현황!$A:$A, 0)), INDEX(대여현황!E:E, MATCH($A147, 대여현황!$A:$A, 0)), "")</f>
        <v/>
      </c>
      <c r="F147" s="10" t="str">
        <f>IF(ISNUMBER(MATCH($A147, 대여현황!$A:$A, 0)), INDEX(대여현황!F:F, MATCH($A147, 대여현황!$A:$A, 0)), "-")</f>
        <v>-</v>
      </c>
    </row>
    <row r="148" spans="1:6" ht="20" customHeight="1">
      <c r="A148" s="9"/>
      <c r="B148" s="3"/>
      <c r="C148" s="9" t="str">
        <f>IF(ISNUMBER(MATCH($A148, 대여현황!$A:$A, 0)), INDEX(대여현황!C:C, MATCH($A148, 대여현황!$A:$A, 0)), "")</f>
        <v/>
      </c>
      <c r="D148" s="9" t="str">
        <f>IF(ISNUMBER(MATCH($A148, 대여현황!$A:$A, 0)), INDEX(대여현황!D:D, MATCH($A148, 대여현황!$A:$A, 0)), "")</f>
        <v/>
      </c>
      <c r="E148" s="10" t="str">
        <f>IF(ISNUMBER(MATCH($A148, 대여현황!$A:$A, 0)), INDEX(대여현황!E:E, MATCH($A148, 대여현황!$A:$A, 0)), "")</f>
        <v/>
      </c>
      <c r="F148" s="10" t="str">
        <f>IF(ISNUMBER(MATCH($A148, 대여현황!$A:$A, 0)), INDEX(대여현황!F:F, MATCH($A148, 대여현황!$A:$A, 0)), "-")</f>
        <v>-</v>
      </c>
    </row>
    <row r="149" spans="1:6" ht="20" customHeight="1">
      <c r="A149" s="9"/>
      <c r="B149" s="3"/>
      <c r="C149" s="9" t="str">
        <f>IF(ISNUMBER(MATCH($A149, 대여현황!$A:$A, 0)), INDEX(대여현황!C:C, MATCH($A149, 대여현황!$A:$A, 0)), "")</f>
        <v/>
      </c>
      <c r="D149" s="9" t="str">
        <f>IF(ISNUMBER(MATCH($A149, 대여현황!$A:$A, 0)), INDEX(대여현황!D:D, MATCH($A149, 대여현황!$A:$A, 0)), "")</f>
        <v/>
      </c>
      <c r="E149" s="10" t="str">
        <f>IF(ISNUMBER(MATCH($A149, 대여현황!$A:$A, 0)), INDEX(대여현황!E:E, MATCH($A149, 대여현황!$A:$A, 0)), "")</f>
        <v/>
      </c>
      <c r="F149" s="10" t="str">
        <f>IF(ISNUMBER(MATCH($A149, 대여현황!$A:$A, 0)), INDEX(대여현황!F:F, MATCH($A149, 대여현황!$A:$A, 0)), "-")</f>
        <v>-</v>
      </c>
    </row>
    <row r="150" spans="1:6" ht="20" customHeight="1">
      <c r="A150" s="9"/>
      <c r="B150" s="3"/>
      <c r="C150" s="9" t="str">
        <f>IF(ISNUMBER(MATCH($A150, 대여현황!$A:$A, 0)), INDEX(대여현황!C:C, MATCH($A150, 대여현황!$A:$A, 0)), "")</f>
        <v/>
      </c>
      <c r="D150" s="9" t="str">
        <f>IF(ISNUMBER(MATCH($A150, 대여현황!$A:$A, 0)), INDEX(대여현황!D:D, MATCH($A150, 대여현황!$A:$A, 0)), "")</f>
        <v/>
      </c>
      <c r="E150" s="10" t="str">
        <f>IF(ISNUMBER(MATCH($A150, 대여현황!$A:$A, 0)), INDEX(대여현황!E:E, MATCH($A150, 대여현황!$A:$A, 0)), "")</f>
        <v/>
      </c>
      <c r="F150" s="10" t="str">
        <f>IF(ISNUMBER(MATCH($A150, 대여현황!$A:$A, 0)), INDEX(대여현황!F:F, MATCH($A150, 대여현황!$A:$A, 0)), "-")</f>
        <v>-</v>
      </c>
    </row>
    <row r="151" spans="1:6" ht="20" customHeight="1">
      <c r="A151" s="9"/>
      <c r="B151" s="3"/>
      <c r="C151" s="9" t="str">
        <f>IF(ISNUMBER(MATCH($A151, 대여현황!$A:$A, 0)), INDEX(대여현황!C:C, MATCH($A151, 대여현황!$A:$A, 0)), "")</f>
        <v/>
      </c>
      <c r="D151" s="9" t="str">
        <f>IF(ISNUMBER(MATCH($A151, 대여현황!$A:$A, 0)), INDEX(대여현황!D:D, MATCH($A151, 대여현황!$A:$A, 0)), "")</f>
        <v/>
      </c>
      <c r="E151" s="10" t="str">
        <f>IF(ISNUMBER(MATCH($A151, 대여현황!$A:$A, 0)), INDEX(대여현황!E:E, MATCH($A151, 대여현황!$A:$A, 0)), "")</f>
        <v/>
      </c>
      <c r="F151" s="10" t="str">
        <f>IF(ISNUMBER(MATCH($A151, 대여현황!$A:$A, 0)), INDEX(대여현황!F:F, MATCH($A151, 대여현황!$A:$A, 0)), "-")</f>
        <v>-</v>
      </c>
    </row>
    <row r="152" spans="1:6" ht="20" customHeight="1">
      <c r="A152" s="9"/>
      <c r="B152" s="3"/>
      <c r="C152" s="9" t="str">
        <f>IF(ISNUMBER(MATCH($A152, 대여현황!$A:$A, 0)), INDEX(대여현황!C:C, MATCH($A152, 대여현황!$A:$A, 0)), "")</f>
        <v/>
      </c>
      <c r="D152" s="9" t="str">
        <f>IF(ISNUMBER(MATCH($A152, 대여현황!$A:$A, 0)), INDEX(대여현황!D:D, MATCH($A152, 대여현황!$A:$A, 0)), "")</f>
        <v/>
      </c>
      <c r="E152" s="10" t="str">
        <f>IF(ISNUMBER(MATCH($A152, 대여현황!$A:$A, 0)), INDEX(대여현황!E:E, MATCH($A152, 대여현황!$A:$A, 0)), "")</f>
        <v/>
      </c>
      <c r="F152" s="10" t="str">
        <f>IF(ISNUMBER(MATCH($A152, 대여현황!$A:$A, 0)), INDEX(대여현황!F:F, MATCH($A152, 대여현황!$A:$A, 0)), "-")</f>
        <v>-</v>
      </c>
    </row>
    <row r="153" spans="1:6" ht="20" customHeight="1">
      <c r="A153" s="9"/>
      <c r="B153" s="3"/>
      <c r="C153" s="9" t="str">
        <f>IF(ISNUMBER(MATCH($A153, 대여현황!$A:$A, 0)), INDEX(대여현황!C:C, MATCH($A153, 대여현황!$A:$A, 0)), "")</f>
        <v/>
      </c>
      <c r="D153" s="9" t="str">
        <f>IF(ISNUMBER(MATCH($A153, 대여현황!$A:$A, 0)), INDEX(대여현황!D:D, MATCH($A153, 대여현황!$A:$A, 0)), "")</f>
        <v/>
      </c>
      <c r="E153" s="10" t="str">
        <f>IF(ISNUMBER(MATCH($A153, 대여현황!$A:$A, 0)), INDEX(대여현황!E:E, MATCH($A153, 대여현황!$A:$A, 0)), "")</f>
        <v/>
      </c>
      <c r="F153" s="10" t="str">
        <f>IF(ISNUMBER(MATCH($A153, 대여현황!$A:$A, 0)), INDEX(대여현황!F:F, MATCH($A153, 대여현황!$A:$A, 0)), "-")</f>
        <v>-</v>
      </c>
    </row>
    <row r="154" spans="1:6" ht="20" customHeight="1">
      <c r="A154" s="9"/>
      <c r="B154" s="3"/>
      <c r="C154" s="9" t="str">
        <f>IF(ISNUMBER(MATCH($A154, 대여현황!$A:$A, 0)), INDEX(대여현황!C:C, MATCH($A154, 대여현황!$A:$A, 0)), "")</f>
        <v/>
      </c>
      <c r="D154" s="9" t="str">
        <f>IF(ISNUMBER(MATCH($A154, 대여현황!$A:$A, 0)), INDEX(대여현황!D:D, MATCH($A154, 대여현황!$A:$A, 0)), "")</f>
        <v/>
      </c>
      <c r="E154" s="10" t="str">
        <f>IF(ISNUMBER(MATCH($A154, 대여현황!$A:$A, 0)), INDEX(대여현황!E:E, MATCH($A154, 대여현황!$A:$A, 0)), "")</f>
        <v/>
      </c>
      <c r="F154" s="10" t="str">
        <f>IF(ISNUMBER(MATCH($A154, 대여현황!$A:$A, 0)), INDEX(대여현황!F:F, MATCH($A154, 대여현황!$A:$A, 0)), "-")</f>
        <v>-</v>
      </c>
    </row>
    <row r="155" spans="1:6" ht="20" customHeight="1">
      <c r="A155" s="9"/>
      <c r="B155" s="3"/>
      <c r="C155" s="9" t="str">
        <f>IF(ISNUMBER(MATCH($A155, 대여현황!$A:$A, 0)), INDEX(대여현황!C:C, MATCH($A155, 대여현황!$A:$A, 0)), "")</f>
        <v/>
      </c>
      <c r="D155" s="9" t="str">
        <f>IF(ISNUMBER(MATCH($A155, 대여현황!$A:$A, 0)), INDEX(대여현황!D:D, MATCH($A155, 대여현황!$A:$A, 0)), "")</f>
        <v/>
      </c>
      <c r="E155" s="10" t="str">
        <f>IF(ISNUMBER(MATCH($A155, 대여현황!$A:$A, 0)), INDEX(대여현황!E:E, MATCH($A155, 대여현황!$A:$A, 0)), "")</f>
        <v/>
      </c>
      <c r="F155" s="10" t="str">
        <f>IF(ISNUMBER(MATCH($A155, 대여현황!$A:$A, 0)), INDEX(대여현황!F:F, MATCH($A155, 대여현황!$A:$A, 0)), "-")</f>
        <v>-</v>
      </c>
    </row>
    <row r="156" spans="1:6" ht="20" customHeight="1">
      <c r="A156" s="9"/>
      <c r="B156" s="3"/>
      <c r="C156" s="9" t="str">
        <f>IF(ISNUMBER(MATCH($A156, 대여현황!$A:$A, 0)), INDEX(대여현황!C:C, MATCH($A156, 대여현황!$A:$A, 0)), "")</f>
        <v/>
      </c>
      <c r="D156" s="9" t="str">
        <f>IF(ISNUMBER(MATCH($A156, 대여현황!$A:$A, 0)), INDEX(대여현황!D:D, MATCH($A156, 대여현황!$A:$A, 0)), "")</f>
        <v/>
      </c>
      <c r="E156" s="10" t="str">
        <f>IF(ISNUMBER(MATCH($A156, 대여현황!$A:$A, 0)), INDEX(대여현황!E:E, MATCH($A156, 대여현황!$A:$A, 0)), "")</f>
        <v/>
      </c>
      <c r="F156" s="10" t="str">
        <f>IF(ISNUMBER(MATCH($A156, 대여현황!$A:$A, 0)), INDEX(대여현황!F:F, MATCH($A156, 대여현황!$A:$A, 0)), "-")</f>
        <v>-</v>
      </c>
    </row>
    <row r="157" spans="1:6" ht="20" customHeight="1">
      <c r="A157" s="9"/>
      <c r="B157" s="3"/>
      <c r="C157" s="9" t="str">
        <f>IF(ISNUMBER(MATCH($A157, 대여현황!$A:$A, 0)), INDEX(대여현황!C:C, MATCH($A157, 대여현황!$A:$A, 0)), "")</f>
        <v/>
      </c>
      <c r="D157" s="9" t="str">
        <f>IF(ISNUMBER(MATCH($A157, 대여현황!$A:$A, 0)), INDEX(대여현황!D:D, MATCH($A157, 대여현황!$A:$A, 0)), "")</f>
        <v/>
      </c>
      <c r="E157" s="10" t="str">
        <f>IF(ISNUMBER(MATCH($A157, 대여현황!$A:$A, 0)), INDEX(대여현황!E:E, MATCH($A157, 대여현황!$A:$A, 0)), "")</f>
        <v/>
      </c>
      <c r="F157" s="10" t="str">
        <f>IF(ISNUMBER(MATCH($A157, 대여현황!$A:$A, 0)), INDEX(대여현황!F:F, MATCH($A157, 대여현황!$A:$A, 0)), "-")</f>
        <v>-</v>
      </c>
    </row>
    <row r="158" spans="1:6" ht="20" customHeight="1">
      <c r="A158" s="9"/>
      <c r="B158" s="3"/>
      <c r="C158" s="9" t="str">
        <f>IF(ISNUMBER(MATCH($A158, 대여현황!$A:$A, 0)), INDEX(대여현황!C:C, MATCH($A158, 대여현황!$A:$A, 0)), "")</f>
        <v/>
      </c>
      <c r="D158" s="9" t="str">
        <f>IF(ISNUMBER(MATCH($A158, 대여현황!$A:$A, 0)), INDEX(대여현황!D:D, MATCH($A158, 대여현황!$A:$A, 0)), "")</f>
        <v/>
      </c>
      <c r="E158" s="10" t="str">
        <f>IF(ISNUMBER(MATCH($A158, 대여현황!$A:$A, 0)), INDEX(대여현황!E:E, MATCH($A158, 대여현황!$A:$A, 0)), "")</f>
        <v/>
      </c>
      <c r="F158" s="10" t="str">
        <f>IF(ISNUMBER(MATCH($A158, 대여현황!$A:$A, 0)), INDEX(대여현황!F:F, MATCH($A158, 대여현황!$A:$A, 0)), "-")</f>
        <v>-</v>
      </c>
    </row>
    <row r="159" spans="1:6" ht="20" customHeight="1">
      <c r="A159" s="9"/>
      <c r="B159" s="3"/>
      <c r="C159" s="9" t="str">
        <f>IF(ISNUMBER(MATCH($A159, 대여현황!$A:$A, 0)), INDEX(대여현황!C:C, MATCH($A159, 대여현황!$A:$A, 0)), "")</f>
        <v/>
      </c>
      <c r="D159" s="9" t="str">
        <f>IF(ISNUMBER(MATCH($A159, 대여현황!$A:$A, 0)), INDEX(대여현황!D:D, MATCH($A159, 대여현황!$A:$A, 0)), "")</f>
        <v/>
      </c>
      <c r="E159" s="10" t="str">
        <f>IF(ISNUMBER(MATCH($A159, 대여현황!$A:$A, 0)), INDEX(대여현황!E:E, MATCH($A159, 대여현황!$A:$A, 0)), "")</f>
        <v/>
      </c>
      <c r="F159" s="10" t="str">
        <f>IF(ISNUMBER(MATCH($A159, 대여현황!$A:$A, 0)), INDEX(대여현황!F:F, MATCH($A159, 대여현황!$A:$A, 0)), "-")</f>
        <v>-</v>
      </c>
    </row>
    <row r="160" spans="1:6" ht="20" customHeight="1">
      <c r="A160" s="9"/>
      <c r="B160" s="3"/>
      <c r="C160" s="9" t="str">
        <f>IF(ISNUMBER(MATCH($A160, 대여현황!$A:$A, 0)), INDEX(대여현황!C:C, MATCH($A160, 대여현황!$A:$A, 0)), "")</f>
        <v/>
      </c>
      <c r="D160" s="9" t="str">
        <f>IF(ISNUMBER(MATCH($A160, 대여현황!$A:$A, 0)), INDEX(대여현황!D:D, MATCH($A160, 대여현황!$A:$A, 0)), "")</f>
        <v/>
      </c>
      <c r="E160" s="10" t="str">
        <f>IF(ISNUMBER(MATCH($A160, 대여현황!$A:$A, 0)), INDEX(대여현황!E:E, MATCH($A160, 대여현황!$A:$A, 0)), "")</f>
        <v/>
      </c>
      <c r="F160" s="10" t="str">
        <f>IF(ISNUMBER(MATCH($A160, 대여현황!$A:$A, 0)), INDEX(대여현황!F:F, MATCH($A160, 대여현황!$A:$A, 0)), "-")</f>
        <v>-</v>
      </c>
    </row>
    <row r="161" spans="1:6" ht="20" customHeight="1">
      <c r="A161" s="9"/>
      <c r="B161" s="3"/>
      <c r="C161" s="9" t="str">
        <f>IF(ISNUMBER(MATCH($A161, 대여현황!$A:$A, 0)), INDEX(대여현황!C:C, MATCH($A161, 대여현황!$A:$A, 0)), "")</f>
        <v/>
      </c>
      <c r="D161" s="9" t="str">
        <f>IF(ISNUMBER(MATCH($A161, 대여현황!$A:$A, 0)), INDEX(대여현황!D:D, MATCH($A161, 대여현황!$A:$A, 0)), "")</f>
        <v/>
      </c>
      <c r="E161" s="10" t="str">
        <f>IF(ISNUMBER(MATCH($A161, 대여현황!$A:$A, 0)), INDEX(대여현황!E:E, MATCH($A161, 대여현황!$A:$A, 0)), "")</f>
        <v/>
      </c>
      <c r="F161" s="10" t="str">
        <f>IF(ISNUMBER(MATCH($A161, 대여현황!$A:$A, 0)), INDEX(대여현황!F:F, MATCH($A161, 대여현황!$A:$A, 0)), "-")</f>
        <v>-</v>
      </c>
    </row>
    <row r="162" spans="1:6" ht="20" customHeight="1">
      <c r="A162" s="9"/>
      <c r="B162" s="3"/>
      <c r="C162" s="9" t="str">
        <f>IF(ISNUMBER(MATCH($A162, 대여현황!$A:$A, 0)), INDEX(대여현황!C:C, MATCH($A162, 대여현황!$A:$A, 0)), "")</f>
        <v/>
      </c>
      <c r="D162" s="9" t="str">
        <f>IF(ISNUMBER(MATCH($A162, 대여현황!$A:$A, 0)), INDEX(대여현황!D:D, MATCH($A162, 대여현황!$A:$A, 0)), "")</f>
        <v/>
      </c>
      <c r="E162" s="10" t="str">
        <f>IF(ISNUMBER(MATCH($A162, 대여현황!$A:$A, 0)), INDEX(대여현황!E:E, MATCH($A162, 대여현황!$A:$A, 0)), "")</f>
        <v/>
      </c>
      <c r="F162" s="10" t="str">
        <f>IF(ISNUMBER(MATCH($A162, 대여현황!$A:$A, 0)), INDEX(대여현황!F:F, MATCH($A162, 대여현황!$A:$A, 0)), "-")</f>
        <v>-</v>
      </c>
    </row>
    <row r="163" spans="1:6" ht="20" customHeight="1">
      <c r="A163" s="9"/>
      <c r="B163" s="3"/>
      <c r="C163" s="9" t="str">
        <f>IF(ISNUMBER(MATCH($A163, 대여현황!$A:$A, 0)), INDEX(대여현황!C:C, MATCH($A163, 대여현황!$A:$A, 0)), "")</f>
        <v/>
      </c>
      <c r="D163" s="9" t="str">
        <f>IF(ISNUMBER(MATCH($A163, 대여현황!$A:$A, 0)), INDEX(대여현황!D:D, MATCH($A163, 대여현황!$A:$A, 0)), "")</f>
        <v/>
      </c>
      <c r="E163" s="10" t="str">
        <f>IF(ISNUMBER(MATCH($A163, 대여현황!$A:$A, 0)), INDEX(대여현황!E:E, MATCH($A163, 대여현황!$A:$A, 0)), "")</f>
        <v/>
      </c>
      <c r="F163" s="10" t="str">
        <f>IF(ISNUMBER(MATCH($A163, 대여현황!$A:$A, 0)), INDEX(대여현황!F:F, MATCH($A163, 대여현황!$A:$A, 0)), "-")</f>
        <v>-</v>
      </c>
    </row>
    <row r="164" spans="1:6" ht="20" customHeight="1">
      <c r="A164" s="9"/>
      <c r="B164" s="3"/>
      <c r="C164" s="9" t="str">
        <f>IF(ISNUMBER(MATCH($A164, 대여현황!$A:$A, 0)), INDEX(대여현황!C:C, MATCH($A164, 대여현황!$A:$A, 0)), "")</f>
        <v/>
      </c>
      <c r="D164" s="9" t="str">
        <f>IF(ISNUMBER(MATCH($A164, 대여현황!$A:$A, 0)), INDEX(대여현황!D:D, MATCH($A164, 대여현황!$A:$A, 0)), "")</f>
        <v/>
      </c>
      <c r="E164" s="10" t="str">
        <f>IF(ISNUMBER(MATCH($A164, 대여현황!$A:$A, 0)), INDEX(대여현황!E:E, MATCH($A164, 대여현황!$A:$A, 0)), "")</f>
        <v/>
      </c>
      <c r="F164" s="10" t="str">
        <f>IF(ISNUMBER(MATCH($A164, 대여현황!$A:$A, 0)), INDEX(대여현황!F:F, MATCH($A164, 대여현황!$A:$A, 0)), "-")</f>
        <v>-</v>
      </c>
    </row>
    <row r="165" spans="1:6" ht="20" customHeight="1">
      <c r="A165" s="9"/>
      <c r="B165" s="3"/>
      <c r="C165" s="9" t="str">
        <f>IF(ISNUMBER(MATCH($A165, 대여현황!$A:$A, 0)), INDEX(대여현황!C:C, MATCH($A165, 대여현황!$A:$A, 0)), "")</f>
        <v/>
      </c>
      <c r="D165" s="9" t="str">
        <f>IF(ISNUMBER(MATCH($A165, 대여현황!$A:$A, 0)), INDEX(대여현황!D:D, MATCH($A165, 대여현황!$A:$A, 0)), "")</f>
        <v/>
      </c>
      <c r="E165" s="10" t="str">
        <f>IF(ISNUMBER(MATCH($A165, 대여현황!$A:$A, 0)), INDEX(대여현황!E:E, MATCH($A165, 대여현황!$A:$A, 0)), "")</f>
        <v/>
      </c>
      <c r="F165" s="10" t="str">
        <f>IF(ISNUMBER(MATCH($A165, 대여현황!$A:$A, 0)), INDEX(대여현황!F:F, MATCH($A165, 대여현황!$A:$A, 0)), "-")</f>
        <v>-</v>
      </c>
    </row>
    <row r="166" spans="1:6" ht="20" customHeight="1">
      <c r="A166" s="9"/>
      <c r="B166" s="3"/>
      <c r="C166" s="9" t="str">
        <f>IF(ISNUMBER(MATCH($A166, 대여현황!$A:$A, 0)), INDEX(대여현황!C:C, MATCH($A166, 대여현황!$A:$A, 0)), "")</f>
        <v/>
      </c>
      <c r="D166" s="9" t="str">
        <f>IF(ISNUMBER(MATCH($A166, 대여현황!$A:$A, 0)), INDEX(대여현황!D:D, MATCH($A166, 대여현황!$A:$A, 0)), "")</f>
        <v/>
      </c>
      <c r="E166" s="10" t="str">
        <f>IF(ISNUMBER(MATCH($A166, 대여현황!$A:$A, 0)), INDEX(대여현황!E:E, MATCH($A166, 대여현황!$A:$A, 0)), "")</f>
        <v/>
      </c>
      <c r="F166" s="10" t="str">
        <f>IF(ISNUMBER(MATCH($A166, 대여현황!$A:$A, 0)), INDEX(대여현황!F:F, MATCH($A166, 대여현황!$A:$A, 0)), "-")</f>
        <v>-</v>
      </c>
    </row>
    <row r="167" spans="1:6" ht="20" customHeight="1">
      <c r="A167" s="9"/>
      <c r="B167" s="3"/>
      <c r="C167" s="9" t="str">
        <f>IF(ISNUMBER(MATCH($A167, 대여현황!$A:$A, 0)), INDEX(대여현황!C:C, MATCH($A167, 대여현황!$A:$A, 0)), "")</f>
        <v/>
      </c>
      <c r="D167" s="9" t="str">
        <f>IF(ISNUMBER(MATCH($A167, 대여현황!$A:$A, 0)), INDEX(대여현황!D:D, MATCH($A167, 대여현황!$A:$A, 0)), "")</f>
        <v/>
      </c>
      <c r="E167" s="10" t="str">
        <f>IF(ISNUMBER(MATCH($A167, 대여현황!$A:$A, 0)), INDEX(대여현황!E:E, MATCH($A167, 대여현황!$A:$A, 0)), "")</f>
        <v/>
      </c>
      <c r="F167" s="10" t="str">
        <f>IF(ISNUMBER(MATCH($A167, 대여현황!$A:$A, 0)), INDEX(대여현황!F:F, MATCH($A167, 대여현황!$A:$A, 0)), "-")</f>
        <v>-</v>
      </c>
    </row>
    <row r="168" spans="1:6" ht="20" customHeight="1">
      <c r="A168" s="9"/>
      <c r="B168" s="3"/>
      <c r="C168" s="9" t="str">
        <f>IF(ISNUMBER(MATCH($A168, 대여현황!$A:$A, 0)), INDEX(대여현황!C:C, MATCH($A168, 대여현황!$A:$A, 0)), "")</f>
        <v/>
      </c>
      <c r="D168" s="9" t="str">
        <f>IF(ISNUMBER(MATCH($A168, 대여현황!$A:$A, 0)), INDEX(대여현황!D:D, MATCH($A168, 대여현황!$A:$A, 0)), "")</f>
        <v/>
      </c>
      <c r="E168" s="10" t="str">
        <f>IF(ISNUMBER(MATCH($A168, 대여현황!$A:$A, 0)), INDEX(대여현황!E:E, MATCH($A168, 대여현황!$A:$A, 0)), "")</f>
        <v/>
      </c>
      <c r="F168" s="10" t="str">
        <f>IF(ISNUMBER(MATCH($A168, 대여현황!$A:$A, 0)), INDEX(대여현황!F:F, MATCH($A168, 대여현황!$A:$A, 0)), "-")</f>
        <v>-</v>
      </c>
    </row>
    <row r="169" spans="1:6" ht="20" customHeight="1">
      <c r="A169" s="9"/>
      <c r="B169" s="3"/>
      <c r="C169" s="9" t="str">
        <f>IF(ISNUMBER(MATCH($A169, 대여현황!$A:$A, 0)), INDEX(대여현황!C:C, MATCH($A169, 대여현황!$A:$A, 0)), "")</f>
        <v/>
      </c>
      <c r="D169" s="9" t="str">
        <f>IF(ISNUMBER(MATCH($A169, 대여현황!$A:$A, 0)), INDEX(대여현황!D:D, MATCH($A169, 대여현황!$A:$A, 0)), "")</f>
        <v/>
      </c>
      <c r="E169" s="10" t="str">
        <f>IF(ISNUMBER(MATCH($A169, 대여현황!$A:$A, 0)), INDEX(대여현황!E:E, MATCH($A169, 대여현황!$A:$A, 0)), "")</f>
        <v/>
      </c>
      <c r="F169" s="10" t="str">
        <f>IF(ISNUMBER(MATCH($A169, 대여현황!$A:$A, 0)), INDEX(대여현황!F:F, MATCH($A169, 대여현황!$A:$A, 0)), "-")</f>
        <v>-</v>
      </c>
    </row>
    <row r="170" spans="1:6" ht="20" customHeight="1">
      <c r="A170" s="9"/>
      <c r="B170" s="3"/>
      <c r="C170" s="9" t="str">
        <f>IF(ISNUMBER(MATCH($A170, 대여현황!$A:$A, 0)), INDEX(대여현황!C:C, MATCH($A170, 대여현황!$A:$A, 0)), "")</f>
        <v/>
      </c>
      <c r="D170" s="9" t="str">
        <f>IF(ISNUMBER(MATCH($A170, 대여현황!$A:$A, 0)), INDEX(대여현황!D:D, MATCH($A170, 대여현황!$A:$A, 0)), "")</f>
        <v/>
      </c>
      <c r="E170" s="10" t="str">
        <f>IF(ISNUMBER(MATCH($A170, 대여현황!$A:$A, 0)), INDEX(대여현황!E:E, MATCH($A170, 대여현황!$A:$A, 0)), "")</f>
        <v/>
      </c>
      <c r="F170" s="10" t="str">
        <f>IF(ISNUMBER(MATCH($A170, 대여현황!$A:$A, 0)), INDEX(대여현황!F:F, MATCH($A170, 대여현황!$A:$A, 0)), "-")</f>
        <v>-</v>
      </c>
    </row>
    <row r="171" spans="1:6" ht="20" customHeight="1">
      <c r="A171" s="9"/>
      <c r="B171" s="3"/>
      <c r="C171" s="9" t="str">
        <f>IF(ISNUMBER(MATCH($A171, 대여현황!$A:$A, 0)), INDEX(대여현황!C:C, MATCH($A171, 대여현황!$A:$A, 0)), "")</f>
        <v/>
      </c>
      <c r="D171" s="9" t="str">
        <f>IF(ISNUMBER(MATCH($A171, 대여현황!$A:$A, 0)), INDEX(대여현황!D:D, MATCH($A171, 대여현황!$A:$A, 0)), "")</f>
        <v/>
      </c>
      <c r="E171" s="10" t="str">
        <f>IF(ISNUMBER(MATCH($A171, 대여현황!$A:$A, 0)), INDEX(대여현황!E:E, MATCH($A171, 대여현황!$A:$A, 0)), "")</f>
        <v/>
      </c>
      <c r="F171" s="10" t="str">
        <f>IF(ISNUMBER(MATCH($A171, 대여현황!$A:$A, 0)), INDEX(대여현황!F:F, MATCH($A171, 대여현황!$A:$A, 0)), "-")</f>
        <v>-</v>
      </c>
    </row>
    <row r="172" spans="1:6" ht="20" customHeight="1">
      <c r="A172" s="9"/>
      <c r="B172" s="3"/>
      <c r="C172" s="9" t="str">
        <f>IF(ISNUMBER(MATCH($A172, 대여현황!$A:$A, 0)), INDEX(대여현황!C:C, MATCH($A172, 대여현황!$A:$A, 0)), "")</f>
        <v/>
      </c>
      <c r="D172" s="9" t="str">
        <f>IF(ISNUMBER(MATCH($A172, 대여현황!$A:$A, 0)), INDEX(대여현황!D:D, MATCH($A172, 대여현황!$A:$A, 0)), "")</f>
        <v/>
      </c>
      <c r="E172" s="10" t="str">
        <f>IF(ISNUMBER(MATCH($A172, 대여현황!$A:$A, 0)), INDEX(대여현황!E:E, MATCH($A172, 대여현황!$A:$A, 0)), "")</f>
        <v/>
      </c>
      <c r="F172" s="10" t="str">
        <f>IF(ISNUMBER(MATCH($A172, 대여현황!$A:$A, 0)), INDEX(대여현황!F:F, MATCH($A172, 대여현황!$A:$A, 0)), "-")</f>
        <v>-</v>
      </c>
    </row>
    <row r="173" spans="1:6" ht="20" customHeight="1">
      <c r="A173" s="9"/>
      <c r="B173" s="3"/>
      <c r="C173" s="9" t="str">
        <f>IF(ISNUMBER(MATCH($A173, 대여현황!$A:$A, 0)), INDEX(대여현황!C:C, MATCH($A173, 대여현황!$A:$A, 0)), "")</f>
        <v/>
      </c>
      <c r="D173" s="9" t="str">
        <f>IF(ISNUMBER(MATCH($A173, 대여현황!$A:$A, 0)), INDEX(대여현황!D:D, MATCH($A173, 대여현황!$A:$A, 0)), "")</f>
        <v/>
      </c>
      <c r="E173" s="10" t="str">
        <f>IF(ISNUMBER(MATCH($A173, 대여현황!$A:$A, 0)), INDEX(대여현황!E:E, MATCH($A173, 대여현황!$A:$A, 0)), "")</f>
        <v/>
      </c>
      <c r="F173" s="10" t="str">
        <f>IF(ISNUMBER(MATCH($A173, 대여현황!$A:$A, 0)), INDEX(대여현황!F:F, MATCH($A173, 대여현황!$A:$A, 0)), "-")</f>
        <v>-</v>
      </c>
    </row>
    <row r="174" spans="1:6" ht="20" customHeight="1">
      <c r="A174" s="9"/>
      <c r="B174" s="3"/>
      <c r="C174" s="9" t="str">
        <f>IF(ISNUMBER(MATCH($A174, 대여현황!$A:$A, 0)), INDEX(대여현황!C:C, MATCH($A174, 대여현황!$A:$A, 0)), "")</f>
        <v/>
      </c>
      <c r="D174" s="9" t="str">
        <f>IF(ISNUMBER(MATCH($A174, 대여현황!$A:$A, 0)), INDEX(대여현황!D:D, MATCH($A174, 대여현황!$A:$A, 0)), "")</f>
        <v/>
      </c>
      <c r="E174" s="10" t="str">
        <f>IF(ISNUMBER(MATCH($A174, 대여현황!$A:$A, 0)), INDEX(대여현황!E:E, MATCH($A174, 대여현황!$A:$A, 0)), "")</f>
        <v/>
      </c>
      <c r="F174" s="10" t="str">
        <f>IF(ISNUMBER(MATCH($A174, 대여현황!$A:$A, 0)), INDEX(대여현황!F:F, MATCH($A174, 대여현황!$A:$A, 0)), "-")</f>
        <v>-</v>
      </c>
    </row>
    <row r="175" spans="1:6" ht="20" customHeight="1">
      <c r="A175" s="9"/>
      <c r="B175" s="3"/>
      <c r="C175" s="9" t="str">
        <f>IF(ISNUMBER(MATCH($A175, 대여현황!$A:$A, 0)), INDEX(대여현황!C:C, MATCH($A175, 대여현황!$A:$A, 0)), "")</f>
        <v/>
      </c>
      <c r="D175" s="9" t="str">
        <f>IF(ISNUMBER(MATCH($A175, 대여현황!$A:$A, 0)), INDEX(대여현황!D:D, MATCH($A175, 대여현황!$A:$A, 0)), "")</f>
        <v/>
      </c>
      <c r="E175" s="10" t="str">
        <f>IF(ISNUMBER(MATCH($A175, 대여현황!$A:$A, 0)), INDEX(대여현황!E:E, MATCH($A175, 대여현황!$A:$A, 0)), "")</f>
        <v/>
      </c>
      <c r="F175" s="10" t="str">
        <f>IF(ISNUMBER(MATCH($A175, 대여현황!$A:$A, 0)), INDEX(대여현황!F:F, MATCH($A175, 대여현황!$A:$A, 0)), "-")</f>
        <v>-</v>
      </c>
    </row>
    <row r="176" spans="1:6" ht="20" customHeight="1">
      <c r="A176" s="9"/>
      <c r="B176" s="3"/>
      <c r="C176" s="9" t="str">
        <f>IF(ISNUMBER(MATCH($A176, 대여현황!$A:$A, 0)), INDEX(대여현황!C:C, MATCH($A176, 대여현황!$A:$A, 0)), "")</f>
        <v/>
      </c>
      <c r="D176" s="9" t="str">
        <f>IF(ISNUMBER(MATCH($A176, 대여현황!$A:$A, 0)), INDEX(대여현황!D:D, MATCH($A176, 대여현황!$A:$A, 0)), "")</f>
        <v/>
      </c>
      <c r="E176" s="10" t="str">
        <f>IF(ISNUMBER(MATCH($A176, 대여현황!$A:$A, 0)), INDEX(대여현황!E:E, MATCH($A176, 대여현황!$A:$A, 0)), "")</f>
        <v/>
      </c>
      <c r="F176" s="10" t="str">
        <f>IF(ISNUMBER(MATCH($A176, 대여현황!$A:$A, 0)), INDEX(대여현황!F:F, MATCH($A176, 대여현황!$A:$A, 0)), "-")</f>
        <v>-</v>
      </c>
    </row>
    <row r="177" spans="1:6" ht="20" customHeight="1">
      <c r="A177" s="9"/>
      <c r="B177" s="3"/>
      <c r="C177" s="9" t="str">
        <f>IF(ISNUMBER(MATCH($A177, 대여현황!$A:$A, 0)), INDEX(대여현황!C:C, MATCH($A177, 대여현황!$A:$A, 0)), "")</f>
        <v/>
      </c>
      <c r="D177" s="9" t="str">
        <f>IF(ISNUMBER(MATCH($A177, 대여현황!$A:$A, 0)), INDEX(대여현황!D:D, MATCH($A177, 대여현황!$A:$A, 0)), "")</f>
        <v/>
      </c>
      <c r="E177" s="10" t="str">
        <f>IF(ISNUMBER(MATCH($A177, 대여현황!$A:$A, 0)), INDEX(대여현황!E:E, MATCH($A177, 대여현황!$A:$A, 0)), "")</f>
        <v/>
      </c>
      <c r="F177" s="10" t="str">
        <f>IF(ISNUMBER(MATCH($A177, 대여현황!$A:$A, 0)), INDEX(대여현황!F:F, MATCH($A177, 대여현황!$A:$A, 0)), "-")</f>
        <v>-</v>
      </c>
    </row>
    <row r="178" spans="1:6" ht="20" customHeight="1">
      <c r="A178" s="9"/>
      <c r="B178" s="3"/>
      <c r="C178" s="9" t="str">
        <f>IF(ISNUMBER(MATCH($A178, 대여현황!$A:$A, 0)), INDEX(대여현황!C:C, MATCH($A178, 대여현황!$A:$A, 0)), "")</f>
        <v/>
      </c>
      <c r="D178" s="9" t="str">
        <f>IF(ISNUMBER(MATCH($A178, 대여현황!$A:$A, 0)), INDEX(대여현황!D:D, MATCH($A178, 대여현황!$A:$A, 0)), "")</f>
        <v/>
      </c>
      <c r="E178" s="10" t="str">
        <f>IF(ISNUMBER(MATCH($A178, 대여현황!$A:$A, 0)), INDEX(대여현황!E:E, MATCH($A178, 대여현황!$A:$A, 0)), "")</f>
        <v/>
      </c>
      <c r="F178" s="10" t="str">
        <f>IF(ISNUMBER(MATCH($A178, 대여현황!$A:$A, 0)), INDEX(대여현황!F:F, MATCH($A178, 대여현황!$A:$A, 0)), "-")</f>
        <v>-</v>
      </c>
    </row>
    <row r="179" spans="1:6" ht="20" customHeight="1">
      <c r="A179" s="9"/>
      <c r="B179" s="3"/>
      <c r="C179" s="9" t="str">
        <f>IF(ISNUMBER(MATCH($A179, 대여현황!$A:$A, 0)), INDEX(대여현황!C:C, MATCH($A179, 대여현황!$A:$A, 0)), "")</f>
        <v/>
      </c>
      <c r="D179" s="9" t="str">
        <f>IF(ISNUMBER(MATCH($A179, 대여현황!$A:$A, 0)), INDEX(대여현황!D:D, MATCH($A179, 대여현황!$A:$A, 0)), "")</f>
        <v/>
      </c>
      <c r="E179" s="10" t="str">
        <f>IF(ISNUMBER(MATCH($A179, 대여현황!$A:$A, 0)), INDEX(대여현황!E:E, MATCH($A179, 대여현황!$A:$A, 0)), "")</f>
        <v/>
      </c>
      <c r="F179" s="10" t="str">
        <f>IF(ISNUMBER(MATCH($A179, 대여현황!$A:$A, 0)), INDEX(대여현황!F:F, MATCH($A179, 대여현황!$A:$A, 0)), "-")</f>
        <v>-</v>
      </c>
    </row>
    <row r="180" spans="1:6" ht="20" customHeight="1">
      <c r="A180" s="9"/>
      <c r="B180" s="3"/>
      <c r="C180" s="9" t="str">
        <f>IF(ISNUMBER(MATCH($A180, 대여현황!$A:$A, 0)), INDEX(대여현황!C:C, MATCH($A180, 대여현황!$A:$A, 0)), "")</f>
        <v/>
      </c>
      <c r="D180" s="9" t="str">
        <f>IF(ISNUMBER(MATCH($A180, 대여현황!$A:$A, 0)), INDEX(대여현황!D:D, MATCH($A180, 대여현황!$A:$A, 0)), "")</f>
        <v/>
      </c>
      <c r="E180" s="10" t="str">
        <f>IF(ISNUMBER(MATCH($A180, 대여현황!$A:$A, 0)), INDEX(대여현황!E:E, MATCH($A180, 대여현황!$A:$A, 0)), "")</f>
        <v/>
      </c>
      <c r="F180" s="10" t="str">
        <f>IF(ISNUMBER(MATCH($A180, 대여현황!$A:$A, 0)), INDEX(대여현황!F:F, MATCH($A180, 대여현황!$A:$A, 0)), "-")</f>
        <v>-</v>
      </c>
    </row>
    <row r="181" spans="1:6" ht="20" customHeight="1">
      <c r="A181" s="9"/>
      <c r="B181" s="3"/>
      <c r="C181" s="9" t="str">
        <f>IF(ISNUMBER(MATCH($A181, 대여현황!$A:$A, 0)), INDEX(대여현황!C:C, MATCH($A181, 대여현황!$A:$A, 0)), "")</f>
        <v/>
      </c>
      <c r="D181" s="9" t="str">
        <f>IF(ISNUMBER(MATCH($A181, 대여현황!$A:$A, 0)), INDEX(대여현황!D:D, MATCH($A181, 대여현황!$A:$A, 0)), "")</f>
        <v/>
      </c>
      <c r="E181" s="10" t="str">
        <f>IF(ISNUMBER(MATCH($A181, 대여현황!$A:$A, 0)), INDEX(대여현황!E:E, MATCH($A181, 대여현황!$A:$A, 0)), "")</f>
        <v/>
      </c>
      <c r="F181" s="10" t="str">
        <f>IF(ISNUMBER(MATCH($A181, 대여현황!$A:$A, 0)), INDEX(대여현황!F:F, MATCH($A181, 대여현황!$A:$A, 0)), "-")</f>
        <v>-</v>
      </c>
    </row>
    <row r="182" spans="1:6" ht="20" customHeight="1">
      <c r="A182" s="9"/>
      <c r="B182" s="3"/>
      <c r="C182" s="9" t="str">
        <f>IF(ISNUMBER(MATCH($A182, 대여현황!$A:$A, 0)), INDEX(대여현황!C:C, MATCH($A182, 대여현황!$A:$A, 0)), "")</f>
        <v/>
      </c>
      <c r="D182" s="9" t="str">
        <f>IF(ISNUMBER(MATCH($A182, 대여현황!$A:$A, 0)), INDEX(대여현황!D:D, MATCH($A182, 대여현황!$A:$A, 0)), "")</f>
        <v/>
      </c>
      <c r="E182" s="10" t="str">
        <f>IF(ISNUMBER(MATCH($A182, 대여현황!$A:$A, 0)), INDEX(대여현황!E:E, MATCH($A182, 대여현황!$A:$A, 0)), "")</f>
        <v/>
      </c>
      <c r="F182" s="10" t="str">
        <f>IF(ISNUMBER(MATCH($A182, 대여현황!$A:$A, 0)), INDEX(대여현황!F:F, MATCH($A182, 대여현황!$A:$A, 0)), "-")</f>
        <v>-</v>
      </c>
    </row>
    <row r="183" spans="1:6" ht="20" customHeight="1">
      <c r="A183" s="9"/>
      <c r="B183" s="3"/>
      <c r="C183" s="9" t="str">
        <f>IF(ISNUMBER(MATCH($A183, 대여현황!$A:$A, 0)), INDEX(대여현황!C:C, MATCH($A183, 대여현황!$A:$A, 0)), "")</f>
        <v/>
      </c>
      <c r="D183" s="9" t="str">
        <f>IF(ISNUMBER(MATCH($A183, 대여현황!$A:$A, 0)), INDEX(대여현황!D:D, MATCH($A183, 대여현황!$A:$A, 0)), "")</f>
        <v/>
      </c>
      <c r="E183" s="10" t="str">
        <f>IF(ISNUMBER(MATCH($A183, 대여현황!$A:$A, 0)), INDEX(대여현황!E:E, MATCH($A183, 대여현황!$A:$A, 0)), "")</f>
        <v/>
      </c>
      <c r="F183" s="10" t="str">
        <f>IF(ISNUMBER(MATCH($A183, 대여현황!$A:$A, 0)), INDEX(대여현황!F:F, MATCH($A183, 대여현황!$A:$A, 0)), "-")</f>
        <v>-</v>
      </c>
    </row>
    <row r="184" spans="1:6" ht="20" customHeight="1">
      <c r="A184" s="9"/>
      <c r="B184" s="3"/>
      <c r="C184" s="9" t="str">
        <f>IF(ISNUMBER(MATCH($A184, 대여현황!$A:$A, 0)), INDEX(대여현황!C:C, MATCH($A184, 대여현황!$A:$A, 0)), "")</f>
        <v/>
      </c>
      <c r="D184" s="9" t="str">
        <f>IF(ISNUMBER(MATCH($A184, 대여현황!$A:$A, 0)), INDEX(대여현황!D:D, MATCH($A184, 대여현황!$A:$A, 0)), "")</f>
        <v/>
      </c>
      <c r="E184" s="10" t="str">
        <f>IF(ISNUMBER(MATCH($A184, 대여현황!$A:$A, 0)), INDEX(대여현황!E:E, MATCH($A184, 대여현황!$A:$A, 0)), "")</f>
        <v/>
      </c>
      <c r="F184" s="10" t="str">
        <f>IF(ISNUMBER(MATCH($A184, 대여현황!$A:$A, 0)), INDEX(대여현황!F:F, MATCH($A184, 대여현황!$A:$A, 0)), "-")</f>
        <v>-</v>
      </c>
    </row>
    <row r="185" spans="1:6" ht="20" customHeight="1">
      <c r="A185" s="9"/>
      <c r="B185" s="3"/>
      <c r="C185" s="9" t="str">
        <f>IF(ISNUMBER(MATCH($A185, 대여현황!$A:$A, 0)), INDEX(대여현황!C:C, MATCH($A185, 대여현황!$A:$A, 0)), "")</f>
        <v/>
      </c>
      <c r="D185" s="9" t="str">
        <f>IF(ISNUMBER(MATCH($A185, 대여현황!$A:$A, 0)), INDEX(대여현황!D:D, MATCH($A185, 대여현황!$A:$A, 0)), "")</f>
        <v/>
      </c>
      <c r="E185" s="10" t="str">
        <f>IF(ISNUMBER(MATCH($A185, 대여현황!$A:$A, 0)), INDEX(대여현황!E:E, MATCH($A185, 대여현황!$A:$A, 0)), "")</f>
        <v/>
      </c>
      <c r="F185" s="10" t="str">
        <f>IF(ISNUMBER(MATCH($A185, 대여현황!$A:$A, 0)), INDEX(대여현황!F:F, MATCH($A185, 대여현황!$A:$A, 0)), "-")</f>
        <v>-</v>
      </c>
    </row>
    <row r="186" spans="1:6" ht="20" customHeight="1">
      <c r="A186" s="9"/>
      <c r="B186" s="3"/>
      <c r="C186" s="9" t="str">
        <f>IF(ISNUMBER(MATCH($A186, 대여현황!$A:$A, 0)), INDEX(대여현황!C:C, MATCH($A186, 대여현황!$A:$A, 0)), "")</f>
        <v/>
      </c>
      <c r="D186" s="9" t="str">
        <f>IF(ISNUMBER(MATCH($A186, 대여현황!$A:$A, 0)), INDEX(대여현황!D:D, MATCH($A186, 대여현황!$A:$A, 0)), "")</f>
        <v/>
      </c>
      <c r="E186" s="10" t="str">
        <f>IF(ISNUMBER(MATCH($A186, 대여현황!$A:$A, 0)), INDEX(대여현황!E:E, MATCH($A186, 대여현황!$A:$A, 0)), "")</f>
        <v/>
      </c>
      <c r="F186" s="10" t="str">
        <f>IF(ISNUMBER(MATCH($A186, 대여현황!$A:$A, 0)), INDEX(대여현황!F:F, MATCH($A186, 대여현황!$A:$A, 0)), "-")</f>
        <v>-</v>
      </c>
    </row>
    <row r="187" spans="1:6" ht="20" customHeight="1">
      <c r="A187" s="9"/>
      <c r="B187" s="3"/>
      <c r="C187" s="9" t="str">
        <f>IF(ISNUMBER(MATCH($A187, 대여현황!$A:$A, 0)), INDEX(대여현황!C:C, MATCH($A187, 대여현황!$A:$A, 0)), "")</f>
        <v/>
      </c>
      <c r="D187" s="9" t="str">
        <f>IF(ISNUMBER(MATCH($A187, 대여현황!$A:$A, 0)), INDEX(대여현황!D:D, MATCH($A187, 대여현황!$A:$A, 0)), "")</f>
        <v/>
      </c>
      <c r="E187" s="10" t="str">
        <f>IF(ISNUMBER(MATCH($A187, 대여현황!$A:$A, 0)), INDEX(대여현황!E:E, MATCH($A187, 대여현황!$A:$A, 0)), "")</f>
        <v/>
      </c>
      <c r="F187" s="10" t="str">
        <f>IF(ISNUMBER(MATCH($A187, 대여현황!$A:$A, 0)), INDEX(대여현황!F:F, MATCH($A187, 대여현황!$A:$A, 0)), "-")</f>
        <v>-</v>
      </c>
    </row>
    <row r="188" spans="1:6" ht="20" customHeight="1">
      <c r="A188" s="9"/>
      <c r="B188" s="3"/>
      <c r="C188" s="9" t="str">
        <f>IF(ISNUMBER(MATCH($A188, 대여현황!$A:$A, 0)), INDEX(대여현황!C:C, MATCH($A188, 대여현황!$A:$A, 0)), "")</f>
        <v/>
      </c>
      <c r="D188" s="9" t="str">
        <f>IF(ISNUMBER(MATCH($A188, 대여현황!$A:$A, 0)), INDEX(대여현황!D:D, MATCH($A188, 대여현황!$A:$A, 0)), "")</f>
        <v/>
      </c>
      <c r="E188" s="10" t="str">
        <f>IF(ISNUMBER(MATCH($A188, 대여현황!$A:$A, 0)), INDEX(대여현황!E:E, MATCH($A188, 대여현황!$A:$A, 0)), "")</f>
        <v/>
      </c>
      <c r="F188" s="10" t="str">
        <f>IF(ISNUMBER(MATCH($A188, 대여현황!$A:$A, 0)), INDEX(대여현황!F:F, MATCH($A188, 대여현황!$A:$A, 0)), "-")</f>
        <v>-</v>
      </c>
    </row>
    <row r="189" spans="1:6" ht="20" customHeight="1">
      <c r="A189" s="9"/>
      <c r="B189" s="3"/>
      <c r="C189" s="9" t="str">
        <f>IF(ISNUMBER(MATCH($A189, 대여현황!$A:$A, 0)), INDEX(대여현황!C:C, MATCH($A189, 대여현황!$A:$A, 0)), "")</f>
        <v/>
      </c>
      <c r="D189" s="9" t="str">
        <f>IF(ISNUMBER(MATCH($A189, 대여현황!$A:$A, 0)), INDEX(대여현황!D:D, MATCH($A189, 대여현황!$A:$A, 0)), "")</f>
        <v/>
      </c>
      <c r="E189" s="10" t="str">
        <f>IF(ISNUMBER(MATCH($A189, 대여현황!$A:$A, 0)), INDEX(대여현황!E:E, MATCH($A189, 대여현황!$A:$A, 0)), "")</f>
        <v/>
      </c>
      <c r="F189" s="10" t="str">
        <f>IF(ISNUMBER(MATCH($A189, 대여현황!$A:$A, 0)), INDEX(대여현황!F:F, MATCH($A189, 대여현황!$A:$A, 0)), "-")</f>
        <v>-</v>
      </c>
    </row>
    <row r="190" spans="1:6" ht="20" customHeight="1">
      <c r="A190" s="9"/>
      <c r="B190" s="3"/>
      <c r="C190" s="9" t="str">
        <f>IF(ISNUMBER(MATCH($A190, 대여현황!$A:$A, 0)), INDEX(대여현황!C:C, MATCH($A190, 대여현황!$A:$A, 0)), "")</f>
        <v/>
      </c>
      <c r="D190" s="9" t="str">
        <f>IF(ISNUMBER(MATCH($A190, 대여현황!$A:$A, 0)), INDEX(대여현황!D:D, MATCH($A190, 대여현황!$A:$A, 0)), "")</f>
        <v/>
      </c>
      <c r="E190" s="10" t="str">
        <f>IF(ISNUMBER(MATCH($A190, 대여현황!$A:$A, 0)), INDEX(대여현황!E:E, MATCH($A190, 대여현황!$A:$A, 0)), "")</f>
        <v/>
      </c>
      <c r="F190" s="10" t="str">
        <f>IF(ISNUMBER(MATCH($A190, 대여현황!$A:$A, 0)), INDEX(대여현황!F:F, MATCH($A190, 대여현황!$A:$A, 0)), "-")</f>
        <v>-</v>
      </c>
    </row>
    <row r="191" spans="1:6" ht="20" customHeight="1">
      <c r="A191" s="9"/>
      <c r="B191" s="3"/>
      <c r="C191" s="9" t="str">
        <f>IF(ISNUMBER(MATCH($A191, 대여현황!$A:$A, 0)), INDEX(대여현황!C:C, MATCH($A191, 대여현황!$A:$A, 0)), "")</f>
        <v/>
      </c>
      <c r="D191" s="9" t="str">
        <f>IF(ISNUMBER(MATCH($A191, 대여현황!$A:$A, 0)), INDEX(대여현황!D:D, MATCH($A191, 대여현황!$A:$A, 0)), "")</f>
        <v/>
      </c>
      <c r="E191" s="10" t="str">
        <f>IF(ISNUMBER(MATCH($A191, 대여현황!$A:$A, 0)), INDEX(대여현황!E:E, MATCH($A191, 대여현황!$A:$A, 0)), "")</f>
        <v/>
      </c>
      <c r="F191" s="10" t="str">
        <f>IF(ISNUMBER(MATCH($A191, 대여현황!$A:$A, 0)), INDEX(대여현황!F:F, MATCH($A191, 대여현황!$A:$A, 0)), "-")</f>
        <v>-</v>
      </c>
    </row>
    <row r="192" spans="1:6" ht="20" customHeight="1">
      <c r="A192" s="9"/>
      <c r="B192" s="3"/>
      <c r="C192" s="9" t="str">
        <f>IF(ISNUMBER(MATCH($A192, 대여현황!$A:$A, 0)), INDEX(대여현황!C:C, MATCH($A192, 대여현황!$A:$A, 0)), "")</f>
        <v/>
      </c>
      <c r="D192" s="9" t="str">
        <f>IF(ISNUMBER(MATCH($A192, 대여현황!$A:$A, 0)), INDEX(대여현황!D:D, MATCH($A192, 대여현황!$A:$A, 0)), "")</f>
        <v/>
      </c>
      <c r="E192" s="10" t="str">
        <f>IF(ISNUMBER(MATCH($A192, 대여현황!$A:$A, 0)), INDEX(대여현황!E:E, MATCH($A192, 대여현황!$A:$A, 0)), "")</f>
        <v/>
      </c>
      <c r="F192" s="10" t="str">
        <f>IF(ISNUMBER(MATCH($A192, 대여현황!$A:$A, 0)), INDEX(대여현황!F:F, MATCH($A192, 대여현황!$A:$A, 0)), "-")</f>
        <v>-</v>
      </c>
    </row>
    <row r="193" spans="1:6" ht="20" customHeight="1">
      <c r="A193" s="9"/>
      <c r="B193" s="3"/>
      <c r="C193" s="9" t="str">
        <f>IF(ISNUMBER(MATCH($A193, 대여현황!$A:$A, 0)), INDEX(대여현황!C:C, MATCH($A193, 대여현황!$A:$A, 0)), "")</f>
        <v/>
      </c>
      <c r="D193" s="9" t="str">
        <f>IF(ISNUMBER(MATCH($A193, 대여현황!$A:$A, 0)), INDEX(대여현황!D:D, MATCH($A193, 대여현황!$A:$A, 0)), "")</f>
        <v/>
      </c>
      <c r="E193" s="10" t="str">
        <f>IF(ISNUMBER(MATCH($A193, 대여현황!$A:$A, 0)), INDEX(대여현황!E:E, MATCH($A193, 대여현황!$A:$A, 0)), "")</f>
        <v/>
      </c>
      <c r="F193" s="10" t="str">
        <f>IF(ISNUMBER(MATCH($A193, 대여현황!$A:$A, 0)), INDEX(대여현황!F:F, MATCH($A193, 대여현황!$A:$A, 0)), "-")</f>
        <v>-</v>
      </c>
    </row>
    <row r="194" spans="1:6" ht="20" customHeight="1">
      <c r="A194" s="9"/>
      <c r="B194" s="3"/>
      <c r="C194" s="9" t="str">
        <f>IF(ISNUMBER(MATCH($A194, 대여현황!$A:$A, 0)), INDEX(대여현황!C:C, MATCH($A194, 대여현황!$A:$A, 0)), "")</f>
        <v/>
      </c>
      <c r="D194" s="9" t="str">
        <f>IF(ISNUMBER(MATCH($A194, 대여현황!$A:$A, 0)), INDEX(대여현황!D:D, MATCH($A194, 대여현황!$A:$A, 0)), "")</f>
        <v/>
      </c>
      <c r="E194" s="10" t="str">
        <f>IF(ISNUMBER(MATCH($A194, 대여현황!$A:$A, 0)), INDEX(대여현황!E:E, MATCH($A194, 대여현황!$A:$A, 0)), "")</f>
        <v/>
      </c>
      <c r="F194" s="10" t="str">
        <f>IF(ISNUMBER(MATCH($A194, 대여현황!$A:$A, 0)), INDEX(대여현황!F:F, MATCH($A194, 대여현황!$A:$A, 0)), "-")</f>
        <v>-</v>
      </c>
    </row>
    <row r="195" spans="1:6" ht="20" customHeight="1">
      <c r="A195" s="9"/>
      <c r="B195" s="3"/>
      <c r="C195" s="9" t="str">
        <f>IF(ISNUMBER(MATCH($A195, 대여현황!$A:$A, 0)), INDEX(대여현황!C:C, MATCH($A195, 대여현황!$A:$A, 0)), "")</f>
        <v/>
      </c>
      <c r="D195" s="9" t="str">
        <f>IF(ISNUMBER(MATCH($A195, 대여현황!$A:$A, 0)), INDEX(대여현황!D:D, MATCH($A195, 대여현황!$A:$A, 0)), "")</f>
        <v/>
      </c>
      <c r="E195" s="10" t="str">
        <f>IF(ISNUMBER(MATCH($A195, 대여현황!$A:$A, 0)), INDEX(대여현황!E:E, MATCH($A195, 대여현황!$A:$A, 0)), "")</f>
        <v/>
      </c>
      <c r="F195" s="10" t="str">
        <f>IF(ISNUMBER(MATCH($A195, 대여현황!$A:$A, 0)), INDEX(대여현황!F:F, MATCH($A195, 대여현황!$A:$A, 0)), "-")</f>
        <v>-</v>
      </c>
    </row>
    <row r="196" spans="1:6" ht="20" customHeight="1">
      <c r="A196" s="9"/>
      <c r="B196" s="3"/>
      <c r="C196" s="9" t="str">
        <f>IF(ISNUMBER(MATCH($A196, 대여현황!$A:$A, 0)), INDEX(대여현황!C:C, MATCH($A196, 대여현황!$A:$A, 0)), "")</f>
        <v/>
      </c>
      <c r="D196" s="9" t="str">
        <f>IF(ISNUMBER(MATCH($A196, 대여현황!$A:$A, 0)), INDEX(대여현황!D:D, MATCH($A196, 대여현황!$A:$A, 0)), "")</f>
        <v/>
      </c>
      <c r="E196" s="10" t="str">
        <f>IF(ISNUMBER(MATCH($A196, 대여현황!$A:$A, 0)), INDEX(대여현황!E:E, MATCH($A196, 대여현황!$A:$A, 0)), "")</f>
        <v/>
      </c>
      <c r="F196" s="10" t="str">
        <f>IF(ISNUMBER(MATCH($A196, 대여현황!$A:$A, 0)), INDEX(대여현황!F:F, MATCH($A196, 대여현황!$A:$A, 0)), "-")</f>
        <v>-</v>
      </c>
    </row>
    <row r="197" spans="1:6" ht="20" customHeight="1">
      <c r="A197" s="9"/>
      <c r="B197" s="3"/>
      <c r="C197" s="9" t="str">
        <f>IF(ISNUMBER(MATCH($A197, 대여현황!$A:$A, 0)), INDEX(대여현황!C:C, MATCH($A197, 대여현황!$A:$A, 0)), "")</f>
        <v/>
      </c>
      <c r="D197" s="9" t="str">
        <f>IF(ISNUMBER(MATCH($A197, 대여현황!$A:$A, 0)), INDEX(대여현황!D:D, MATCH($A197, 대여현황!$A:$A, 0)), "")</f>
        <v/>
      </c>
      <c r="E197" s="10" t="str">
        <f>IF(ISNUMBER(MATCH($A197, 대여현황!$A:$A, 0)), INDEX(대여현황!E:E, MATCH($A197, 대여현황!$A:$A, 0)), "")</f>
        <v/>
      </c>
      <c r="F197" s="10" t="str">
        <f>IF(ISNUMBER(MATCH($A197, 대여현황!$A:$A, 0)), INDEX(대여현황!F:F, MATCH($A197, 대여현황!$A:$A, 0)), "-")</f>
        <v>-</v>
      </c>
    </row>
    <row r="198" spans="1:6" ht="20" customHeight="1">
      <c r="A198" s="9"/>
      <c r="B198" s="3"/>
      <c r="C198" s="9" t="str">
        <f>IF(ISNUMBER(MATCH($A198, 대여현황!$A:$A, 0)), INDEX(대여현황!C:C, MATCH($A198, 대여현황!$A:$A, 0)), "")</f>
        <v/>
      </c>
      <c r="D198" s="9" t="str">
        <f>IF(ISNUMBER(MATCH($A198, 대여현황!$A:$A, 0)), INDEX(대여현황!D:D, MATCH($A198, 대여현황!$A:$A, 0)), "")</f>
        <v/>
      </c>
      <c r="E198" s="10" t="str">
        <f>IF(ISNUMBER(MATCH($A198, 대여현황!$A:$A, 0)), INDEX(대여현황!E:E, MATCH($A198, 대여현황!$A:$A, 0)), "")</f>
        <v/>
      </c>
      <c r="F198" s="10" t="str">
        <f>IF(ISNUMBER(MATCH($A198, 대여현황!$A:$A, 0)), INDEX(대여현황!F:F, MATCH($A198, 대여현황!$A:$A, 0)), "-")</f>
        <v>-</v>
      </c>
    </row>
    <row r="199" spans="1:6" ht="20" customHeight="1">
      <c r="A199" s="9"/>
      <c r="B199" s="3"/>
      <c r="C199" s="9" t="str">
        <f>IF(ISNUMBER(MATCH($A199, 대여현황!$A:$A, 0)), INDEX(대여현황!C:C, MATCH($A199, 대여현황!$A:$A, 0)), "")</f>
        <v/>
      </c>
      <c r="D199" s="9" t="str">
        <f>IF(ISNUMBER(MATCH($A199, 대여현황!$A:$A, 0)), INDEX(대여현황!D:D, MATCH($A199, 대여현황!$A:$A, 0)), "")</f>
        <v/>
      </c>
      <c r="E199" s="10" t="str">
        <f>IF(ISNUMBER(MATCH($A199, 대여현황!$A:$A, 0)), INDEX(대여현황!E:E, MATCH($A199, 대여현황!$A:$A, 0)), "")</f>
        <v/>
      </c>
      <c r="F199" s="10" t="str">
        <f>IF(ISNUMBER(MATCH($A199, 대여현황!$A:$A, 0)), INDEX(대여현황!F:F, MATCH($A199, 대여현황!$A:$A, 0)), "-")</f>
        <v>-</v>
      </c>
    </row>
    <row r="200" spans="1:6" ht="20" customHeight="1">
      <c r="A200" s="9"/>
      <c r="B200" s="3"/>
      <c r="C200" s="9" t="str">
        <f>IF(ISNUMBER(MATCH($A200, 대여현황!$A:$A, 0)), INDEX(대여현황!C:C, MATCH($A200, 대여현황!$A:$A, 0)), "")</f>
        <v/>
      </c>
      <c r="D200" s="9" t="str">
        <f>IF(ISNUMBER(MATCH($A200, 대여현황!$A:$A, 0)), INDEX(대여현황!D:D, MATCH($A200, 대여현황!$A:$A, 0)), "")</f>
        <v/>
      </c>
      <c r="E200" s="10" t="str">
        <f>IF(ISNUMBER(MATCH($A200, 대여현황!$A:$A, 0)), INDEX(대여현황!E:E, MATCH($A200, 대여현황!$A:$A, 0)), "")</f>
        <v/>
      </c>
      <c r="F200" s="10" t="str">
        <f>IF(ISNUMBER(MATCH($A200, 대여현황!$A:$A, 0)), INDEX(대여현황!F:F, MATCH($A200, 대여현황!$A:$A, 0)), "-")</f>
        <v>-</v>
      </c>
    </row>
  </sheetData>
  <autoFilter ref="A2:F200" xr:uid="{7A2F6335-0E8B-7E47-B209-A59117FB36D5}"/>
  <mergeCells count="6">
    <mergeCell ref="Q1:R2"/>
    <mergeCell ref="A1:F1"/>
    <mergeCell ref="H1:I2"/>
    <mergeCell ref="J1:K2"/>
    <mergeCell ref="L1:M2"/>
    <mergeCell ref="O1:P2"/>
  </mergeCells>
  <phoneticPr fontId="4" type="noConversion"/>
  <conditionalFormatting sqref="A1:F1048576">
    <cfRule type="expression" dxfId="11" priority="1">
      <formula>$F1="소실"</formula>
    </cfRule>
    <cfRule type="expression" dxfId="10" priority="2">
      <formula>$F1="일반대여"</formula>
    </cfRule>
    <cfRule type="expression" dxfId="9" priority="3">
      <formula>$F1="장기대여"</formula>
    </cfRule>
  </conditionalFormatting>
  <hyperlinks>
    <hyperlink ref="H1:I2" location="'TAM-T'!A1" display="TAM-T" xr:uid="{A8CAD7DC-D602-754B-B9CD-200CEAA97486}"/>
    <hyperlink ref="L1:M2" location="'TAM-M'!A1" display="TAM-M" xr:uid="{68C51F75-EB33-1144-BFB2-D76B3813DF92}"/>
    <hyperlink ref="O1:P2" location="'NA-N'!A1" display="NA-N" xr:uid="{07812D94-5B63-EE4E-8F18-27FBEFEFCEBB}"/>
    <hyperlink ref="Q1:R2" location="'NA-A'!A1" display="NA-A" xr:uid="{1A8A28DD-C324-E748-8405-C22E939778FE}"/>
    <hyperlink ref="J1:K2" location="대여현황!A1" display="대여현황" xr:uid="{E465FB8B-70DD-6E47-A2FA-201542AC29B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5C65F-EE8D-4143-BC0E-82BC80F3DD03}">
  <sheetPr codeName="Sheet5"/>
  <dimension ref="A1:R200"/>
  <sheetViews>
    <sheetView workbookViewId="0">
      <pane ySplit="2" topLeftCell="A3" activePane="bottomLeft" state="frozen"/>
      <selection pane="bottomLeft" activeCell="J7" sqref="J7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38" t="s">
        <v>371</v>
      </c>
      <c r="B1" s="39"/>
      <c r="C1" s="39"/>
      <c r="D1" s="39"/>
      <c r="E1" s="39"/>
      <c r="F1" s="40"/>
      <c r="G1" s="1"/>
      <c r="H1" s="26" t="s">
        <v>381</v>
      </c>
      <c r="I1" s="27"/>
      <c r="J1" s="26" t="s">
        <v>382</v>
      </c>
      <c r="K1" s="27"/>
      <c r="L1" s="41" t="s">
        <v>387</v>
      </c>
      <c r="M1" s="42"/>
      <c r="N1" s="1"/>
      <c r="O1" s="30" t="s">
        <v>384</v>
      </c>
      <c r="P1" s="31"/>
      <c r="Q1" s="30" t="s">
        <v>385</v>
      </c>
      <c r="R1" s="31"/>
    </row>
    <row r="2" spans="1:18" ht="20" customHeight="1" thickBot="1">
      <c r="A2" s="12" t="s">
        <v>140</v>
      </c>
      <c r="B2" s="12" t="s">
        <v>146</v>
      </c>
      <c r="C2" s="12" t="s">
        <v>142</v>
      </c>
      <c r="D2" s="12" t="s">
        <v>138</v>
      </c>
      <c r="E2" s="13" t="s">
        <v>295</v>
      </c>
      <c r="F2" s="14" t="s">
        <v>367</v>
      </c>
      <c r="G2" s="1"/>
      <c r="H2" s="28"/>
      <c r="I2" s="29"/>
      <c r="J2" s="28"/>
      <c r="K2" s="29"/>
      <c r="L2" s="43"/>
      <c r="M2" s="44"/>
      <c r="N2" s="1"/>
      <c r="O2" s="32"/>
      <c r="P2" s="33"/>
      <c r="Q2" s="32"/>
      <c r="R2" s="33"/>
    </row>
    <row r="3" spans="1:18" ht="20" customHeight="1">
      <c r="A3" s="20">
        <v>221</v>
      </c>
      <c r="B3" s="21" t="s">
        <v>192</v>
      </c>
      <c r="C3" s="20" t="str">
        <f>IF(ISNUMBER(MATCH($A3, 대여현황!$A:$A, 0)), INDEX(대여현황!C:C, MATCH($A3, 대여현황!$A:$A, 0)), "")</f>
        <v/>
      </c>
      <c r="D3" s="20" t="str">
        <f>IF(ISNUMBER(MATCH($A3, 대여현황!$A:$A, 0)), INDEX(대여현황!D:D, MATCH($A3, 대여현황!$A:$A, 0)), "")</f>
        <v/>
      </c>
      <c r="E3" s="20" t="str">
        <f>IF(ISNUMBER(MATCH($A3, 대여현황!$A:$A, 0)), INDEX(대여현황!E:E, MATCH($A3, 대여현황!$A:$A, 0)), "")</f>
        <v/>
      </c>
      <c r="F3" s="20" t="str">
        <f>IF(ISNUMBER(MATCH($A3, 대여현황!$A:$A, 0)), INDEX(대여현황!F:F, MATCH($A3, 대여현황!$A:$A, 0)), "-")</f>
        <v>-</v>
      </c>
    </row>
    <row r="4" spans="1:18" ht="20" customHeight="1">
      <c r="A4" s="20">
        <v>222</v>
      </c>
      <c r="B4" s="21" t="s">
        <v>183</v>
      </c>
      <c r="C4" s="20"/>
      <c r="D4" s="20"/>
      <c r="E4" s="22"/>
      <c r="F4" s="20" t="str">
        <f>IF(ISNUMBER(MATCH($A4, 대여현황!$A:$A, 0)), INDEX(대여현황!F:F, MATCH($A4, 대여현황!$A:$A, 0)), "-")</f>
        <v>-</v>
      </c>
    </row>
    <row r="5" spans="1:18" ht="20" customHeight="1">
      <c r="A5" s="20">
        <v>223</v>
      </c>
      <c r="B5" s="21" t="s">
        <v>187</v>
      </c>
      <c r="C5" s="20"/>
      <c r="D5" s="20"/>
      <c r="E5" s="22"/>
      <c r="F5" s="20" t="str">
        <f>IF(ISNUMBER(MATCH($A5, 대여현황!$A:$A, 0)), INDEX(대여현황!F:F, MATCH($A5, 대여현황!$A:$A, 0)), "-")</f>
        <v>-</v>
      </c>
    </row>
    <row r="6" spans="1:18" ht="20" customHeight="1">
      <c r="A6" s="20">
        <v>224</v>
      </c>
      <c r="B6" s="21" t="s">
        <v>187</v>
      </c>
      <c r="C6" s="20"/>
      <c r="D6" s="20"/>
      <c r="E6" s="22"/>
      <c r="F6" s="20" t="str">
        <f>IF(ISNUMBER(MATCH($A6, 대여현황!$A:$A, 0)), INDEX(대여현황!F:F, MATCH($A6, 대여현황!$A:$A, 0)), "-")</f>
        <v>-</v>
      </c>
    </row>
    <row r="7" spans="1:18" ht="20" customHeight="1">
      <c r="A7" s="20">
        <v>225</v>
      </c>
      <c r="B7" s="21" t="s">
        <v>190</v>
      </c>
      <c r="C7" s="20"/>
      <c r="D7" s="20"/>
      <c r="E7" s="22"/>
      <c r="F7" s="20" t="str">
        <f>IF(ISNUMBER(MATCH($A7, 대여현황!$A:$A, 0)), INDEX(대여현황!F:F, MATCH($A7, 대여현황!$A:$A, 0)), "-")</f>
        <v>-</v>
      </c>
    </row>
    <row r="8" spans="1:18" ht="20" customHeight="1">
      <c r="A8" s="20">
        <v>226</v>
      </c>
      <c r="B8" s="21" t="s">
        <v>190</v>
      </c>
      <c r="C8" s="20"/>
      <c r="D8" s="20"/>
      <c r="E8" s="22"/>
      <c r="F8" s="20" t="str">
        <f>IF(ISNUMBER(MATCH($A8, 대여현황!$A:$A, 0)), INDEX(대여현황!F:F, MATCH($A8, 대여현황!$A:$A, 0)), "-")</f>
        <v>-</v>
      </c>
    </row>
    <row r="9" spans="1:18" ht="20" customHeight="1">
      <c r="A9" s="20">
        <v>227</v>
      </c>
      <c r="B9" s="21" t="s">
        <v>68</v>
      </c>
      <c r="C9" s="20"/>
      <c r="D9" s="20"/>
      <c r="E9" s="22"/>
      <c r="F9" s="20" t="str">
        <f>IF(ISNUMBER(MATCH($A9, 대여현황!$A:$A, 0)), INDEX(대여현황!F:F, MATCH($A9, 대여현황!$A:$A, 0)), "-")</f>
        <v>-</v>
      </c>
    </row>
    <row r="10" spans="1:18" ht="20" customHeight="1">
      <c r="A10" s="20">
        <v>228</v>
      </c>
      <c r="B10" s="21" t="s">
        <v>68</v>
      </c>
      <c r="C10" s="20"/>
      <c r="D10" s="20"/>
      <c r="E10" s="22"/>
      <c r="F10" s="20" t="str">
        <f>IF(ISNUMBER(MATCH($A10, 대여현황!$A:$A, 0)), INDEX(대여현황!F:F, MATCH($A10, 대여현황!$A:$A, 0)), "-")</f>
        <v>-</v>
      </c>
    </row>
    <row r="11" spans="1:18" ht="20" customHeight="1">
      <c r="A11" s="20">
        <v>229</v>
      </c>
      <c r="B11" s="21" t="s">
        <v>251</v>
      </c>
      <c r="C11" s="20"/>
      <c r="D11" s="20"/>
      <c r="E11" s="22"/>
      <c r="F11" s="20" t="str">
        <f>IF(ISNUMBER(MATCH($A11, 대여현황!$A:$A, 0)), INDEX(대여현황!F:F, MATCH($A11, 대여현황!$A:$A, 0)), "-")</f>
        <v>-</v>
      </c>
    </row>
    <row r="12" spans="1:18" ht="20" customHeight="1">
      <c r="A12" s="20">
        <v>230</v>
      </c>
      <c r="B12" s="21" t="s">
        <v>251</v>
      </c>
      <c r="C12" s="20"/>
      <c r="D12" s="20"/>
      <c r="E12" s="22"/>
      <c r="F12" s="20" t="str">
        <f>IF(ISNUMBER(MATCH($A12, 대여현황!$A:$A, 0)), INDEX(대여현황!F:F, MATCH($A12, 대여현황!$A:$A, 0)), "-")</f>
        <v>-</v>
      </c>
    </row>
    <row r="13" spans="1:18" ht="20" customHeight="1">
      <c r="A13" s="20">
        <v>231</v>
      </c>
      <c r="B13" s="21" t="s">
        <v>181</v>
      </c>
      <c r="C13" s="20"/>
      <c r="D13" s="20"/>
      <c r="E13" s="22"/>
      <c r="F13" s="20" t="str">
        <f>IF(ISNUMBER(MATCH($A13, 대여현황!$A:$A, 0)), INDEX(대여현황!F:F, MATCH($A13, 대여현황!$A:$A, 0)), "-")</f>
        <v>-</v>
      </c>
    </row>
    <row r="14" spans="1:18" ht="20" customHeight="1">
      <c r="A14" s="20">
        <v>232</v>
      </c>
      <c r="B14" s="21" t="s">
        <v>184</v>
      </c>
      <c r="C14" s="20"/>
      <c r="D14" s="20"/>
      <c r="E14" s="22"/>
      <c r="F14" s="20" t="str">
        <f>IF(ISNUMBER(MATCH($A14, 대여현황!$A:$A, 0)), INDEX(대여현황!F:F, MATCH($A14, 대여현황!$A:$A, 0)), "-")</f>
        <v>-</v>
      </c>
    </row>
    <row r="15" spans="1:18" ht="20" customHeight="1">
      <c r="A15" s="20">
        <v>233</v>
      </c>
      <c r="B15" s="21" t="s">
        <v>184</v>
      </c>
      <c r="C15" s="20"/>
      <c r="D15" s="20"/>
      <c r="E15" s="22"/>
      <c r="F15" s="20" t="str">
        <f>IF(ISNUMBER(MATCH($A15, 대여현황!$A:$A, 0)), INDEX(대여현황!F:F, MATCH($A15, 대여현황!$A:$A, 0)), "-")</f>
        <v>-</v>
      </c>
    </row>
    <row r="16" spans="1:18" ht="20" customHeight="1">
      <c r="A16" s="20">
        <v>234</v>
      </c>
      <c r="B16" s="21" t="s">
        <v>184</v>
      </c>
      <c r="C16" s="20"/>
      <c r="D16" s="20"/>
      <c r="E16" s="22"/>
      <c r="F16" s="20" t="str">
        <f>IF(ISNUMBER(MATCH($A16, 대여현황!$A:$A, 0)), INDEX(대여현황!F:F, MATCH($A16, 대여현황!$A:$A, 0)), "-")</f>
        <v>-</v>
      </c>
    </row>
    <row r="17" spans="1:6" ht="20" customHeight="1">
      <c r="A17" s="20">
        <v>235</v>
      </c>
      <c r="B17" s="21" t="s">
        <v>241</v>
      </c>
      <c r="C17" s="20"/>
      <c r="D17" s="20"/>
      <c r="E17" s="22"/>
      <c r="F17" s="20" t="str">
        <f>IF(ISNUMBER(MATCH($A17, 대여현황!$A:$A, 0)), INDEX(대여현황!F:F, MATCH($A17, 대여현황!$A:$A, 0)), "-")</f>
        <v>-</v>
      </c>
    </row>
    <row r="18" spans="1:6" ht="20" customHeight="1">
      <c r="A18" s="20">
        <v>236</v>
      </c>
      <c r="B18" s="21" t="s">
        <v>241</v>
      </c>
      <c r="C18" s="20"/>
      <c r="D18" s="20"/>
      <c r="E18" s="22"/>
      <c r="F18" s="20" t="str">
        <f>IF(ISNUMBER(MATCH($A18, 대여현황!$A:$A, 0)), INDEX(대여현황!F:F, MATCH($A18, 대여현황!$A:$A, 0)), "-")</f>
        <v>-</v>
      </c>
    </row>
    <row r="19" spans="1:6" ht="20" customHeight="1">
      <c r="A19" s="20">
        <v>237</v>
      </c>
      <c r="B19" s="21" t="s">
        <v>234</v>
      </c>
      <c r="C19" s="20"/>
      <c r="D19" s="20"/>
      <c r="E19" s="22"/>
      <c r="F19" s="20" t="str">
        <f>IF(ISNUMBER(MATCH($A19, 대여현황!$A:$A, 0)), INDEX(대여현황!F:F, MATCH($A19, 대여현황!$A:$A, 0)), "-")</f>
        <v>-</v>
      </c>
    </row>
    <row r="20" spans="1:6" ht="20" customHeight="1">
      <c r="A20" s="20">
        <v>238</v>
      </c>
      <c r="B20" s="21" t="s">
        <v>234</v>
      </c>
      <c r="C20" s="20"/>
      <c r="D20" s="20"/>
      <c r="E20" s="22"/>
      <c r="F20" s="20" t="str">
        <f>IF(ISNUMBER(MATCH($A20, 대여현황!$A:$A, 0)), INDEX(대여현황!F:F, MATCH($A20, 대여현황!$A:$A, 0)), "-")</f>
        <v>-</v>
      </c>
    </row>
    <row r="21" spans="1:6" ht="20" customHeight="1">
      <c r="A21" s="20">
        <v>239</v>
      </c>
      <c r="B21" s="21" t="s">
        <v>4</v>
      </c>
      <c r="C21" s="20"/>
      <c r="D21" s="20"/>
      <c r="E21" s="22"/>
      <c r="F21" s="20" t="str">
        <f>IF(ISNUMBER(MATCH($A21, 대여현황!$A:$A, 0)), INDEX(대여현황!F:F, MATCH($A21, 대여현황!$A:$A, 0)), "-")</f>
        <v>-</v>
      </c>
    </row>
    <row r="22" spans="1:6" ht="20" customHeight="1">
      <c r="A22" s="20">
        <v>240</v>
      </c>
      <c r="B22" s="21" t="s">
        <v>4</v>
      </c>
      <c r="C22" s="20"/>
      <c r="D22" s="20"/>
      <c r="E22" s="22"/>
      <c r="F22" s="20" t="str">
        <f>IF(ISNUMBER(MATCH($A22, 대여현황!$A:$A, 0)), INDEX(대여현황!F:F, MATCH($A22, 대여현황!$A:$A, 0)), "-")</f>
        <v>-</v>
      </c>
    </row>
    <row r="23" spans="1:6" ht="20" customHeight="1">
      <c r="A23" s="20">
        <v>241</v>
      </c>
      <c r="B23" s="21" t="s">
        <v>29</v>
      </c>
      <c r="C23" s="20"/>
      <c r="D23" s="20"/>
      <c r="E23" s="22"/>
      <c r="F23" s="20" t="str">
        <f>IF(ISNUMBER(MATCH($A23, 대여현황!$A:$A, 0)), INDEX(대여현황!F:F, MATCH($A23, 대여현황!$A:$A, 0)), "-")</f>
        <v>-</v>
      </c>
    </row>
    <row r="24" spans="1:6" ht="20" customHeight="1">
      <c r="A24" s="20">
        <v>242</v>
      </c>
      <c r="B24" s="21" t="s">
        <v>29</v>
      </c>
      <c r="C24" s="20"/>
      <c r="D24" s="20"/>
      <c r="E24" s="22"/>
      <c r="F24" s="20" t="str">
        <f>IF(ISNUMBER(MATCH($A24, 대여현황!$A:$A, 0)), INDEX(대여현황!F:F, MATCH($A24, 대여현황!$A:$A, 0)), "-")</f>
        <v>-</v>
      </c>
    </row>
    <row r="25" spans="1:6" ht="20" customHeight="1">
      <c r="A25" s="20">
        <v>243</v>
      </c>
      <c r="B25" s="21" t="s">
        <v>3</v>
      </c>
      <c r="C25" s="20"/>
      <c r="D25" s="20"/>
      <c r="E25" s="22"/>
      <c r="F25" s="20" t="str">
        <f>IF(ISNUMBER(MATCH($A25, 대여현황!$A:$A, 0)), INDEX(대여현황!F:F, MATCH($A25, 대여현황!$A:$A, 0)), "-")</f>
        <v>-</v>
      </c>
    </row>
    <row r="26" spans="1:6" ht="20" customHeight="1">
      <c r="A26" s="20">
        <v>244</v>
      </c>
      <c r="B26" s="21" t="s">
        <v>3</v>
      </c>
      <c r="C26" s="20"/>
      <c r="D26" s="20"/>
      <c r="E26" s="22"/>
      <c r="F26" s="20" t="str">
        <f>IF(ISNUMBER(MATCH($A26, 대여현황!$A:$A, 0)), INDEX(대여현황!F:F, MATCH($A26, 대여현황!$A:$A, 0)), "-")</f>
        <v>-</v>
      </c>
    </row>
    <row r="27" spans="1:6" ht="20" customHeight="1">
      <c r="A27" s="20">
        <v>245</v>
      </c>
      <c r="B27" s="21" t="s">
        <v>304</v>
      </c>
      <c r="C27" s="20"/>
      <c r="D27" s="20"/>
      <c r="E27" s="22"/>
      <c r="F27" s="20" t="str">
        <f>IF(ISNUMBER(MATCH($A27, 대여현황!$A:$A, 0)), INDEX(대여현황!F:F, MATCH($A27, 대여현황!$A:$A, 0)), "-")</f>
        <v>-</v>
      </c>
    </row>
    <row r="28" spans="1:6" ht="20" customHeight="1">
      <c r="A28" s="20">
        <v>246</v>
      </c>
      <c r="B28" s="21" t="s">
        <v>304</v>
      </c>
      <c r="C28" s="20"/>
      <c r="D28" s="20"/>
      <c r="E28" s="22"/>
      <c r="F28" s="20" t="str">
        <f>IF(ISNUMBER(MATCH($A28, 대여현황!$A:$A, 0)), INDEX(대여현황!F:F, MATCH($A28, 대여현황!$A:$A, 0)), "-")</f>
        <v>-</v>
      </c>
    </row>
    <row r="29" spans="1:6" ht="20" customHeight="1">
      <c r="A29" s="20">
        <v>247</v>
      </c>
      <c r="B29" s="21" t="s">
        <v>45</v>
      </c>
      <c r="C29" s="20"/>
      <c r="D29" s="20"/>
      <c r="E29" s="22"/>
      <c r="F29" s="20" t="str">
        <f>IF(ISNUMBER(MATCH($A29, 대여현황!$A:$A, 0)), INDEX(대여현황!F:F, MATCH($A29, 대여현황!$A:$A, 0)), "-")</f>
        <v>-</v>
      </c>
    </row>
    <row r="30" spans="1:6" ht="20" customHeight="1">
      <c r="A30" s="20">
        <v>248</v>
      </c>
      <c r="B30" s="21" t="s">
        <v>45</v>
      </c>
      <c r="C30" s="20"/>
      <c r="D30" s="20"/>
      <c r="E30" s="22"/>
      <c r="F30" s="20" t="str">
        <f>IF(ISNUMBER(MATCH($A30, 대여현황!$A:$A, 0)), INDEX(대여현황!F:F, MATCH($A30, 대여현황!$A:$A, 0)), "-")</f>
        <v>-</v>
      </c>
    </row>
    <row r="31" spans="1:6" ht="20" customHeight="1">
      <c r="A31" s="20">
        <v>249</v>
      </c>
      <c r="B31" s="21" t="s">
        <v>320</v>
      </c>
      <c r="C31" s="20"/>
      <c r="D31" s="20"/>
      <c r="E31" s="22"/>
      <c r="F31" s="20" t="str">
        <f>IF(ISNUMBER(MATCH($A31, 대여현황!$A:$A, 0)), INDEX(대여현황!F:F, MATCH($A31, 대여현황!$A:$A, 0)), "-")</f>
        <v>-</v>
      </c>
    </row>
    <row r="32" spans="1:6" ht="20" customHeight="1">
      <c r="A32" s="20">
        <v>250</v>
      </c>
      <c r="B32" s="21" t="s">
        <v>320</v>
      </c>
      <c r="C32" s="20" t="str">
        <f>IF(ISNUMBER(MATCH($A3, 대여현황!$A:$A, 0)), INDEX(대여현황!C:C, MATCH($A3, 대여현황!$A:$A, 0)), "")</f>
        <v/>
      </c>
      <c r="D32" s="20" t="str">
        <f>IF(ISNUMBER(MATCH($A3, 대여현황!$A:$A, 0)), INDEX(대여현황!D:D, MATCH($A3, 대여현황!$A:$A, 0)), "")</f>
        <v/>
      </c>
      <c r="E32" s="22" t="str">
        <f>IF(ISNUMBER(MATCH($A3, 대여현황!$A:$A, 0)), INDEX(대여현황!E:E, MATCH($A3, 대여현황!$A:$A, 0)), "")</f>
        <v/>
      </c>
      <c r="F32" s="20" t="str">
        <f>IF(ISNUMBER(MATCH($A32, 대여현황!$A:$A, 0)), INDEX(대여현황!F:F, MATCH($A32, 대여현황!$A:$A, 0)), "-")</f>
        <v>-</v>
      </c>
    </row>
    <row r="33" spans="1:6" ht="20" customHeight="1">
      <c r="A33" s="20">
        <v>251</v>
      </c>
      <c r="B33" s="21" t="s">
        <v>322</v>
      </c>
      <c r="C33" s="20" t="str">
        <f>IF(ISNUMBER(MATCH($A4, 대여현황!$A:$A, 0)), INDEX(대여현황!C:C, MATCH($A4, 대여현황!$A:$A, 0)), "")</f>
        <v/>
      </c>
      <c r="D33" s="20" t="str">
        <f>IF(ISNUMBER(MATCH($A4, 대여현황!$A:$A, 0)), INDEX(대여현황!D:D, MATCH($A4, 대여현황!$A:$A, 0)), "")</f>
        <v/>
      </c>
      <c r="E33" s="22" t="str">
        <f>IF(ISNUMBER(MATCH($A4, 대여현황!$A:$A, 0)), INDEX(대여현황!E:E, MATCH($A4, 대여현황!$A:$A, 0)), "")</f>
        <v/>
      </c>
      <c r="F33" s="20" t="str">
        <f>IF(ISNUMBER(MATCH($A33, 대여현황!$A:$A, 0)), INDEX(대여현황!F:F, MATCH($A33, 대여현황!$A:$A, 0)), "-")</f>
        <v>-</v>
      </c>
    </row>
    <row r="34" spans="1:6" ht="20" customHeight="1">
      <c r="A34" s="20">
        <v>252</v>
      </c>
      <c r="B34" s="21" t="s">
        <v>322</v>
      </c>
      <c r="C34" s="20" t="str">
        <f>IF(ISNUMBER(MATCH($A5, 대여현황!$A:$A, 0)), INDEX(대여현황!C:C, MATCH($A5, 대여현황!$A:$A, 0)), "")</f>
        <v/>
      </c>
      <c r="D34" s="20" t="str">
        <f>IF(ISNUMBER(MATCH($A5, 대여현황!$A:$A, 0)), INDEX(대여현황!D:D, MATCH($A5, 대여현황!$A:$A, 0)), "")</f>
        <v/>
      </c>
      <c r="E34" s="22" t="str">
        <f>IF(ISNUMBER(MATCH($A5, 대여현황!$A:$A, 0)), INDEX(대여현황!E:E, MATCH($A5, 대여현황!$A:$A, 0)), "")</f>
        <v/>
      </c>
      <c r="F34" s="20" t="str">
        <f>IF(ISNUMBER(MATCH($A34, 대여현황!$A:$A, 0)), INDEX(대여현황!F:F, MATCH($A34, 대여현황!$A:$A, 0)), "-")</f>
        <v>-</v>
      </c>
    </row>
    <row r="35" spans="1:6" ht="20" customHeight="1">
      <c r="A35" s="20">
        <v>253</v>
      </c>
      <c r="B35" s="21" t="s">
        <v>20</v>
      </c>
      <c r="C35" s="20" t="str">
        <f>IF(ISNUMBER(MATCH($A6, 대여현황!$A:$A, 0)), INDEX(대여현황!C:C, MATCH($A6, 대여현황!$A:$A, 0)), "")</f>
        <v/>
      </c>
      <c r="D35" s="20" t="str">
        <f>IF(ISNUMBER(MATCH($A6, 대여현황!$A:$A, 0)), INDEX(대여현황!D:D, MATCH($A6, 대여현황!$A:$A, 0)), "")</f>
        <v/>
      </c>
      <c r="E35" s="22" t="str">
        <f>IF(ISNUMBER(MATCH($A6, 대여현황!$A:$A, 0)), INDEX(대여현황!E:E, MATCH($A6, 대여현황!$A:$A, 0)), "")</f>
        <v/>
      </c>
      <c r="F35" s="20" t="str">
        <f>IF(ISNUMBER(MATCH($A35, 대여현황!$A:$A, 0)), INDEX(대여현황!F:F, MATCH($A35, 대여현황!$A:$A, 0)), "-")</f>
        <v>-</v>
      </c>
    </row>
    <row r="36" spans="1:6" ht="20" customHeight="1">
      <c r="A36" s="20">
        <v>254</v>
      </c>
      <c r="B36" s="21" t="s">
        <v>20</v>
      </c>
      <c r="C36" s="20" t="str">
        <f>IF(ISNUMBER(MATCH($A7, 대여현황!$A:$A, 0)), INDEX(대여현황!C:C, MATCH($A7, 대여현황!$A:$A, 0)), "")</f>
        <v/>
      </c>
      <c r="D36" s="20" t="str">
        <f>IF(ISNUMBER(MATCH($A7, 대여현황!$A:$A, 0)), INDEX(대여현황!D:D, MATCH($A7, 대여현황!$A:$A, 0)), "")</f>
        <v/>
      </c>
      <c r="E36" s="22" t="str">
        <f>IF(ISNUMBER(MATCH($A7, 대여현황!$A:$A, 0)), INDEX(대여현황!E:E, MATCH($A7, 대여현황!$A:$A, 0)), "")</f>
        <v/>
      </c>
      <c r="F36" s="20" t="str">
        <f>IF(ISNUMBER(MATCH($A36, 대여현황!$A:$A, 0)), INDEX(대여현황!F:F, MATCH($A36, 대여현황!$A:$A, 0)), "-")</f>
        <v>-</v>
      </c>
    </row>
    <row r="37" spans="1:6" ht="20" customHeight="1">
      <c r="A37" s="20">
        <v>255</v>
      </c>
      <c r="B37" s="21" t="s">
        <v>40</v>
      </c>
      <c r="C37" s="20" t="str">
        <f>IF(ISNUMBER(MATCH($A8, 대여현황!$A:$A, 0)), INDEX(대여현황!C:C, MATCH($A8, 대여현황!$A:$A, 0)), "")</f>
        <v/>
      </c>
      <c r="D37" s="20" t="str">
        <f>IF(ISNUMBER(MATCH($A8, 대여현황!$A:$A, 0)), INDEX(대여현황!D:D, MATCH($A8, 대여현황!$A:$A, 0)), "")</f>
        <v/>
      </c>
      <c r="E37" s="22" t="str">
        <f>IF(ISNUMBER(MATCH($A8, 대여현황!$A:$A, 0)), INDEX(대여현황!E:E, MATCH($A8, 대여현황!$A:$A, 0)), "")</f>
        <v/>
      </c>
      <c r="F37" s="20" t="str">
        <f>IF(ISNUMBER(MATCH($A37, 대여현황!$A:$A, 0)), INDEX(대여현황!F:F, MATCH($A37, 대여현황!$A:$A, 0)), "-")</f>
        <v>-</v>
      </c>
    </row>
    <row r="38" spans="1:6" ht="20" customHeight="1">
      <c r="A38" s="20">
        <v>256</v>
      </c>
      <c r="B38" s="21" t="s">
        <v>40</v>
      </c>
      <c r="C38" s="20" t="str">
        <f>IF(ISNUMBER(MATCH($A9, 대여현황!$A:$A, 0)), INDEX(대여현황!C:C, MATCH($A9, 대여현황!$A:$A, 0)), "")</f>
        <v/>
      </c>
      <c r="D38" s="20" t="str">
        <f>IF(ISNUMBER(MATCH($A9, 대여현황!$A:$A, 0)), INDEX(대여현황!D:D, MATCH($A9, 대여현황!$A:$A, 0)), "")</f>
        <v/>
      </c>
      <c r="E38" s="22" t="str">
        <f>IF(ISNUMBER(MATCH($A9, 대여현황!$A:$A, 0)), INDEX(대여현황!E:E, MATCH($A9, 대여현황!$A:$A, 0)), "")</f>
        <v/>
      </c>
      <c r="F38" s="20" t="str">
        <f>IF(ISNUMBER(MATCH($A38, 대여현황!$A:$A, 0)), INDEX(대여현황!F:F, MATCH($A38, 대여현황!$A:$A, 0)), "-")</f>
        <v>-</v>
      </c>
    </row>
    <row r="39" spans="1:6" ht="20" customHeight="1">
      <c r="A39" s="20">
        <v>257</v>
      </c>
      <c r="B39" s="21" t="s">
        <v>323</v>
      </c>
      <c r="C39" s="20" t="str">
        <f>IF(ISNUMBER(MATCH($A10, 대여현황!$A:$A, 0)), INDEX(대여현황!C:C, MATCH($A10, 대여현황!$A:$A, 0)), "")</f>
        <v/>
      </c>
      <c r="D39" s="20" t="str">
        <f>IF(ISNUMBER(MATCH($A10, 대여현황!$A:$A, 0)), INDEX(대여현황!D:D, MATCH($A10, 대여현황!$A:$A, 0)), "")</f>
        <v/>
      </c>
      <c r="E39" s="22" t="str">
        <f>IF(ISNUMBER(MATCH($A10, 대여현황!$A:$A, 0)), INDEX(대여현황!E:E, MATCH($A10, 대여현황!$A:$A, 0)), "")</f>
        <v/>
      </c>
      <c r="F39" s="20" t="str">
        <f>IF(ISNUMBER(MATCH($A39, 대여현황!$A:$A, 0)), INDEX(대여현황!F:F, MATCH($A39, 대여현황!$A:$A, 0)), "-")</f>
        <v>-</v>
      </c>
    </row>
    <row r="40" spans="1:6" ht="20" customHeight="1">
      <c r="A40" s="20">
        <v>258</v>
      </c>
      <c r="B40" s="21" t="s">
        <v>314</v>
      </c>
      <c r="C40" s="20" t="str">
        <f>IF(ISNUMBER(MATCH($A11, 대여현황!$A:$A, 0)), INDEX(대여현황!C:C, MATCH($A11, 대여현황!$A:$A, 0)), "")</f>
        <v/>
      </c>
      <c r="D40" s="20" t="str">
        <f>IF(ISNUMBER(MATCH($A11, 대여현황!$A:$A, 0)), INDEX(대여현황!D:D, MATCH($A11, 대여현황!$A:$A, 0)), "")</f>
        <v/>
      </c>
      <c r="E40" s="22" t="str">
        <f>IF(ISNUMBER(MATCH($A11, 대여현황!$A:$A, 0)), INDEX(대여현황!E:E, MATCH($A11, 대여현황!$A:$A, 0)), "")</f>
        <v/>
      </c>
      <c r="F40" s="20" t="str">
        <f>IF(ISNUMBER(MATCH($A40, 대여현황!$A:$A, 0)), INDEX(대여현황!F:F, MATCH($A40, 대여현황!$A:$A, 0)), "-")</f>
        <v>-</v>
      </c>
    </row>
    <row r="41" spans="1:6" ht="20" customHeight="1">
      <c r="A41" s="20">
        <v>259</v>
      </c>
      <c r="B41" s="21" t="s">
        <v>21</v>
      </c>
      <c r="C41" s="20" t="str">
        <f>IF(ISNUMBER(MATCH($A12, 대여현황!$A:$A, 0)), INDEX(대여현황!C:C, MATCH($A12, 대여현황!$A:$A, 0)), "")</f>
        <v/>
      </c>
      <c r="D41" s="20" t="str">
        <f>IF(ISNUMBER(MATCH($A12, 대여현황!$A:$A, 0)), INDEX(대여현황!D:D, MATCH($A12, 대여현황!$A:$A, 0)), "")</f>
        <v/>
      </c>
      <c r="E41" s="22" t="str">
        <f>IF(ISNUMBER(MATCH($A12, 대여현황!$A:$A, 0)), INDEX(대여현황!E:E, MATCH($A12, 대여현황!$A:$A, 0)), "")</f>
        <v/>
      </c>
      <c r="F41" s="20" t="str">
        <f>IF(ISNUMBER(MATCH($A41, 대여현황!$A:$A, 0)), INDEX(대여현황!F:F, MATCH($A41, 대여현황!$A:$A, 0)), "-")</f>
        <v>-</v>
      </c>
    </row>
    <row r="42" spans="1:6" ht="20" customHeight="1">
      <c r="A42" s="20">
        <v>260</v>
      </c>
      <c r="B42" s="21" t="s">
        <v>306</v>
      </c>
      <c r="C42" s="20" t="str">
        <f>IF(ISNUMBER(MATCH($A13, 대여현황!$A:$A, 0)), INDEX(대여현황!C:C, MATCH($A13, 대여현황!$A:$A, 0)), "")</f>
        <v/>
      </c>
      <c r="D42" s="20" t="str">
        <f>IF(ISNUMBER(MATCH($A13, 대여현황!$A:$A, 0)), INDEX(대여현황!D:D, MATCH($A13, 대여현황!$A:$A, 0)), "")</f>
        <v/>
      </c>
      <c r="E42" s="22" t="str">
        <f>IF(ISNUMBER(MATCH($A13, 대여현황!$A:$A, 0)), INDEX(대여현황!E:E, MATCH($A13, 대여현황!$A:$A, 0)), "")</f>
        <v/>
      </c>
      <c r="F42" s="20" t="str">
        <f>IF(ISNUMBER(MATCH($A42, 대여현황!$A:$A, 0)), INDEX(대여현황!F:F, MATCH($A42, 대여현황!$A:$A, 0)), "-")</f>
        <v>-</v>
      </c>
    </row>
    <row r="43" spans="1:6" ht="20" customHeight="1">
      <c r="A43" s="20">
        <v>261</v>
      </c>
      <c r="B43" s="21" t="s">
        <v>321</v>
      </c>
      <c r="C43" s="20" t="str">
        <f>IF(ISNUMBER(MATCH($A14, 대여현황!$A:$A, 0)), INDEX(대여현황!C:C, MATCH($A14, 대여현황!$A:$A, 0)), "")</f>
        <v/>
      </c>
      <c r="D43" s="20" t="str">
        <f>IF(ISNUMBER(MATCH($A14, 대여현황!$A:$A, 0)), INDEX(대여현황!D:D, MATCH($A14, 대여현황!$A:$A, 0)), "")</f>
        <v/>
      </c>
      <c r="E43" s="22" t="str">
        <f>IF(ISNUMBER(MATCH($A14, 대여현황!$A:$A, 0)), INDEX(대여현황!E:E, MATCH($A14, 대여현황!$A:$A, 0)), "")</f>
        <v/>
      </c>
      <c r="F43" s="20" t="str">
        <f>IF(ISNUMBER(MATCH($A43, 대여현황!$A:$A, 0)), INDEX(대여현황!F:F, MATCH($A43, 대여현황!$A:$A, 0)), "-")</f>
        <v>-</v>
      </c>
    </row>
    <row r="44" spans="1:6" ht="20" customHeight="1">
      <c r="A44" s="20">
        <v>262</v>
      </c>
      <c r="B44" s="21" t="s">
        <v>321</v>
      </c>
      <c r="C44" s="20" t="str">
        <f>IF(ISNUMBER(MATCH($A15, 대여현황!$A:$A, 0)), INDEX(대여현황!C:C, MATCH($A15, 대여현황!$A:$A, 0)), "")</f>
        <v/>
      </c>
      <c r="D44" s="20" t="str">
        <f>IF(ISNUMBER(MATCH($A15, 대여현황!$A:$A, 0)), INDEX(대여현황!D:D, MATCH($A15, 대여현황!$A:$A, 0)), "")</f>
        <v/>
      </c>
      <c r="E44" s="22" t="str">
        <f>IF(ISNUMBER(MATCH($A15, 대여현황!$A:$A, 0)), INDEX(대여현황!E:E, MATCH($A15, 대여현황!$A:$A, 0)), "")</f>
        <v/>
      </c>
      <c r="F44" s="20" t="str">
        <f>IF(ISNUMBER(MATCH($A44, 대여현황!$A:$A, 0)), INDEX(대여현황!F:F, MATCH($A44, 대여현황!$A:$A, 0)), "-")</f>
        <v>-</v>
      </c>
    </row>
    <row r="45" spans="1:6" ht="20" customHeight="1">
      <c r="A45" s="20">
        <v>263</v>
      </c>
      <c r="B45" s="21" t="s">
        <v>321</v>
      </c>
      <c r="C45" s="20" t="str">
        <f>IF(ISNUMBER(MATCH($A16, 대여현황!$A:$A, 0)), INDEX(대여현황!C:C, MATCH($A16, 대여현황!$A:$A, 0)), "")</f>
        <v/>
      </c>
      <c r="D45" s="20" t="str">
        <f>IF(ISNUMBER(MATCH($A16, 대여현황!$A:$A, 0)), INDEX(대여현황!D:D, MATCH($A16, 대여현황!$A:$A, 0)), "")</f>
        <v/>
      </c>
      <c r="E45" s="22" t="str">
        <f>IF(ISNUMBER(MATCH($A16, 대여현황!$A:$A, 0)), INDEX(대여현황!E:E, MATCH($A16, 대여현황!$A:$A, 0)), "")</f>
        <v/>
      </c>
      <c r="F45" s="20" t="str">
        <f>IF(ISNUMBER(MATCH($A45, 대여현황!$A:$A, 0)), INDEX(대여현황!F:F, MATCH($A45, 대여현황!$A:$A, 0)), "-")</f>
        <v>-</v>
      </c>
    </row>
    <row r="46" spans="1:6" ht="20" customHeight="1">
      <c r="A46" s="20">
        <v>264</v>
      </c>
      <c r="B46" s="21" t="s">
        <v>321</v>
      </c>
      <c r="C46" s="20" t="str">
        <f>IF(ISNUMBER(MATCH($A17, 대여현황!$A:$A, 0)), INDEX(대여현황!C:C, MATCH($A17, 대여현황!$A:$A, 0)), "")</f>
        <v/>
      </c>
      <c r="D46" s="20" t="str">
        <f>IF(ISNUMBER(MATCH($A17, 대여현황!$A:$A, 0)), INDEX(대여현황!D:D, MATCH($A17, 대여현황!$A:$A, 0)), "")</f>
        <v/>
      </c>
      <c r="E46" s="22" t="str">
        <f>IF(ISNUMBER(MATCH($A17, 대여현황!$A:$A, 0)), INDEX(대여현황!E:E, MATCH($A17, 대여현황!$A:$A, 0)), "")</f>
        <v/>
      </c>
      <c r="F46" s="20" t="str">
        <f>IF(ISNUMBER(MATCH($A46, 대여현황!$A:$A, 0)), INDEX(대여현황!F:F, MATCH($A46, 대여현황!$A:$A, 0)), "-")</f>
        <v>-</v>
      </c>
    </row>
    <row r="47" spans="1:6" ht="20" customHeight="1">
      <c r="A47" s="20">
        <v>265</v>
      </c>
      <c r="B47" s="21" t="s">
        <v>197</v>
      </c>
      <c r="C47" s="20" t="str">
        <f>IF(ISNUMBER(MATCH($A18, 대여현황!$A:$A, 0)), INDEX(대여현황!C:C, MATCH($A18, 대여현황!$A:$A, 0)), "")</f>
        <v/>
      </c>
      <c r="D47" s="20" t="str">
        <f>IF(ISNUMBER(MATCH($A18, 대여현황!$A:$A, 0)), INDEX(대여현황!D:D, MATCH($A18, 대여현황!$A:$A, 0)), "")</f>
        <v/>
      </c>
      <c r="E47" s="22" t="str">
        <f>IF(ISNUMBER(MATCH($A18, 대여현황!$A:$A, 0)), INDEX(대여현황!E:E, MATCH($A18, 대여현황!$A:$A, 0)), "")</f>
        <v/>
      </c>
      <c r="F47" s="20" t="str">
        <f>IF(ISNUMBER(MATCH($A47, 대여현황!$A:$A, 0)), INDEX(대여현황!F:F, MATCH($A47, 대여현황!$A:$A, 0)), "-")</f>
        <v>-</v>
      </c>
    </row>
    <row r="48" spans="1:6" ht="20" customHeight="1">
      <c r="A48" s="20">
        <v>266</v>
      </c>
      <c r="B48" s="21" t="s">
        <v>197</v>
      </c>
      <c r="C48" s="20" t="str">
        <f>IF(ISNUMBER(MATCH($A19, 대여현황!$A:$A, 0)), INDEX(대여현황!C:C, MATCH($A19, 대여현황!$A:$A, 0)), "")</f>
        <v/>
      </c>
      <c r="D48" s="20" t="str">
        <f>IF(ISNUMBER(MATCH($A19, 대여현황!$A:$A, 0)), INDEX(대여현황!D:D, MATCH($A19, 대여현황!$A:$A, 0)), "")</f>
        <v/>
      </c>
      <c r="E48" s="22" t="str">
        <f>IF(ISNUMBER(MATCH($A19, 대여현황!$A:$A, 0)), INDEX(대여현황!E:E, MATCH($A19, 대여현황!$A:$A, 0)), "")</f>
        <v/>
      </c>
      <c r="F48" s="20" t="str">
        <f>IF(ISNUMBER(MATCH($A48, 대여현황!$A:$A, 0)), INDEX(대여현황!F:F, MATCH($A48, 대여현황!$A:$A, 0)), "-")</f>
        <v>-</v>
      </c>
    </row>
    <row r="49" spans="1:6" ht="20" customHeight="1">
      <c r="A49" s="20">
        <v>267</v>
      </c>
      <c r="B49" s="21" t="s">
        <v>56</v>
      </c>
      <c r="C49" s="20" t="str">
        <f>IF(ISNUMBER(MATCH($A20, 대여현황!$A:$A, 0)), INDEX(대여현황!C:C, MATCH($A20, 대여현황!$A:$A, 0)), "")</f>
        <v/>
      </c>
      <c r="D49" s="20" t="str">
        <f>IF(ISNUMBER(MATCH($A20, 대여현황!$A:$A, 0)), INDEX(대여현황!D:D, MATCH($A20, 대여현황!$A:$A, 0)), "")</f>
        <v/>
      </c>
      <c r="E49" s="22" t="str">
        <f>IF(ISNUMBER(MATCH($A20, 대여현황!$A:$A, 0)), INDEX(대여현황!E:E, MATCH($A20, 대여현황!$A:$A, 0)), "")</f>
        <v/>
      </c>
      <c r="F49" s="20" t="str">
        <f>IF(ISNUMBER(MATCH($A49, 대여현황!$A:$A, 0)), INDEX(대여현황!F:F, MATCH($A49, 대여현황!$A:$A, 0)), "-")</f>
        <v>-</v>
      </c>
    </row>
    <row r="50" spans="1:6" ht="20" customHeight="1">
      <c r="A50" s="20">
        <v>268</v>
      </c>
      <c r="B50" s="21" t="s">
        <v>220</v>
      </c>
      <c r="C50" s="20" t="str">
        <f>IF(ISNUMBER(MATCH($A21, 대여현황!$A:$A, 0)), INDEX(대여현황!C:C, MATCH($A21, 대여현황!$A:$A, 0)), "")</f>
        <v/>
      </c>
      <c r="D50" s="20" t="str">
        <f>IF(ISNUMBER(MATCH($A21, 대여현황!$A:$A, 0)), INDEX(대여현황!D:D, MATCH($A21, 대여현황!$A:$A, 0)), "")</f>
        <v/>
      </c>
      <c r="E50" s="22" t="str">
        <f>IF(ISNUMBER(MATCH($A21, 대여현황!$A:$A, 0)), INDEX(대여현황!E:E, MATCH($A21, 대여현황!$A:$A, 0)), "")</f>
        <v/>
      </c>
      <c r="F50" s="20" t="str">
        <f>IF(ISNUMBER(MATCH($A50, 대여현황!$A:$A, 0)), INDEX(대여현황!F:F, MATCH($A50, 대여현황!$A:$A, 0)), "-")</f>
        <v>-</v>
      </c>
    </row>
    <row r="51" spans="1:6" ht="20" customHeight="1">
      <c r="A51" s="20">
        <v>269</v>
      </c>
      <c r="B51" s="21" t="s">
        <v>10</v>
      </c>
      <c r="C51" s="20" t="str">
        <f>IF(ISNUMBER(MATCH($A22, 대여현황!$A:$A, 0)), INDEX(대여현황!C:C, MATCH($A22, 대여현황!$A:$A, 0)), "")</f>
        <v/>
      </c>
      <c r="D51" s="20" t="str">
        <f>IF(ISNUMBER(MATCH($A22, 대여현황!$A:$A, 0)), INDEX(대여현황!D:D, MATCH($A22, 대여현황!$A:$A, 0)), "")</f>
        <v/>
      </c>
      <c r="E51" s="22" t="str">
        <f>IF(ISNUMBER(MATCH($A22, 대여현황!$A:$A, 0)), INDEX(대여현황!E:E, MATCH($A22, 대여현황!$A:$A, 0)), "")</f>
        <v/>
      </c>
      <c r="F51" s="20" t="str">
        <f>IF(ISNUMBER(MATCH($A51, 대여현황!$A:$A, 0)), INDEX(대여현황!F:F, MATCH($A51, 대여현황!$A:$A, 0)), "-")</f>
        <v>-</v>
      </c>
    </row>
    <row r="52" spans="1:6" ht="20" customHeight="1">
      <c r="A52" s="20">
        <v>270</v>
      </c>
      <c r="B52" s="21" t="s">
        <v>195</v>
      </c>
      <c r="C52" s="20" t="str">
        <f>IF(ISNUMBER(MATCH($A23, 대여현황!$A:$A, 0)), INDEX(대여현황!C:C, MATCH($A23, 대여현황!$A:$A, 0)), "")</f>
        <v/>
      </c>
      <c r="D52" s="20" t="str">
        <f>IF(ISNUMBER(MATCH($A23, 대여현황!$A:$A, 0)), INDEX(대여현황!D:D, MATCH($A23, 대여현황!$A:$A, 0)), "")</f>
        <v/>
      </c>
      <c r="E52" s="22" t="str">
        <f>IF(ISNUMBER(MATCH($A23, 대여현황!$A:$A, 0)), INDEX(대여현황!E:E, MATCH($A23, 대여현황!$A:$A, 0)), "")</f>
        <v/>
      </c>
      <c r="F52" s="20" t="str">
        <f>IF(ISNUMBER(MATCH($A52, 대여현황!$A:$A, 0)), INDEX(대여현황!F:F, MATCH($A52, 대여현황!$A:$A, 0)), "-")</f>
        <v>-</v>
      </c>
    </row>
    <row r="53" spans="1:6" ht="20" customHeight="1">
      <c r="A53" s="20">
        <v>271</v>
      </c>
      <c r="B53" s="21" t="s">
        <v>196</v>
      </c>
      <c r="C53" s="20" t="str">
        <f>IF(ISNUMBER(MATCH($A24, 대여현황!$A:$A, 0)), INDEX(대여현황!C:C, MATCH($A24, 대여현황!$A:$A, 0)), "")</f>
        <v/>
      </c>
      <c r="D53" s="20" t="str">
        <f>IF(ISNUMBER(MATCH($A24, 대여현황!$A:$A, 0)), INDEX(대여현황!D:D, MATCH($A24, 대여현황!$A:$A, 0)), "")</f>
        <v/>
      </c>
      <c r="E53" s="22" t="str">
        <f>IF(ISNUMBER(MATCH($A24, 대여현황!$A:$A, 0)), INDEX(대여현황!E:E, MATCH($A24, 대여현황!$A:$A, 0)), "")</f>
        <v/>
      </c>
      <c r="F53" s="20" t="str">
        <f>IF(ISNUMBER(MATCH($A53, 대여현황!$A:$A, 0)), INDEX(대여현황!F:F, MATCH($A53, 대여현황!$A:$A, 0)), "-")</f>
        <v>-</v>
      </c>
    </row>
    <row r="54" spans="1:6" ht="20" customHeight="1">
      <c r="A54" s="20">
        <v>272</v>
      </c>
      <c r="B54" s="21" t="s">
        <v>324</v>
      </c>
      <c r="C54" s="20" t="str">
        <f>IF(ISNUMBER(MATCH($A25, 대여현황!$A:$A, 0)), INDEX(대여현황!C:C, MATCH($A25, 대여현황!$A:$A, 0)), "")</f>
        <v/>
      </c>
      <c r="D54" s="20" t="str">
        <f>IF(ISNUMBER(MATCH($A25, 대여현황!$A:$A, 0)), INDEX(대여현황!D:D, MATCH($A25, 대여현황!$A:$A, 0)), "")</f>
        <v/>
      </c>
      <c r="E54" s="22" t="str">
        <f>IF(ISNUMBER(MATCH($A25, 대여현황!$A:$A, 0)), INDEX(대여현황!E:E, MATCH($A25, 대여현황!$A:$A, 0)), "")</f>
        <v/>
      </c>
      <c r="F54" s="20" t="str">
        <f>IF(ISNUMBER(MATCH($A54, 대여현황!$A:$A, 0)), INDEX(대여현황!F:F, MATCH($A54, 대여현황!$A:$A, 0)), "-")</f>
        <v>-</v>
      </c>
    </row>
    <row r="55" spans="1:6" ht="20" customHeight="1">
      <c r="A55" s="20">
        <v>273</v>
      </c>
      <c r="B55" s="21" t="s">
        <v>194</v>
      </c>
      <c r="C55" s="20" t="str">
        <f>IF(ISNUMBER(MATCH($A26, 대여현황!$A:$A, 0)), INDEX(대여현황!C:C, MATCH($A26, 대여현황!$A:$A, 0)), "")</f>
        <v/>
      </c>
      <c r="D55" s="20" t="str">
        <f>IF(ISNUMBER(MATCH($A26, 대여현황!$A:$A, 0)), INDEX(대여현황!D:D, MATCH($A26, 대여현황!$A:$A, 0)), "")</f>
        <v/>
      </c>
      <c r="E55" s="22" t="str">
        <f>IF(ISNUMBER(MATCH($A26, 대여현황!$A:$A, 0)), INDEX(대여현황!E:E, MATCH($A26, 대여현황!$A:$A, 0)), "")</f>
        <v/>
      </c>
      <c r="F55" s="20" t="str">
        <f>IF(ISNUMBER(MATCH($A55, 대여현황!$A:$A, 0)), INDEX(대여현황!F:F, MATCH($A55, 대여현황!$A:$A, 0)), "-")</f>
        <v>-</v>
      </c>
    </row>
    <row r="56" spans="1:6" ht="20" customHeight="1">
      <c r="A56" s="20">
        <v>274</v>
      </c>
      <c r="B56" s="21" t="s">
        <v>318</v>
      </c>
      <c r="C56" s="20" t="str">
        <f>IF(ISNUMBER(MATCH($A27, 대여현황!$A:$A, 0)), INDEX(대여현황!C:C, MATCH($A27, 대여현황!$A:$A, 0)), "")</f>
        <v/>
      </c>
      <c r="D56" s="20" t="str">
        <f>IF(ISNUMBER(MATCH($A27, 대여현황!$A:$A, 0)), INDEX(대여현황!D:D, MATCH($A27, 대여현황!$A:$A, 0)), "")</f>
        <v/>
      </c>
      <c r="E56" s="22" t="str">
        <f>IF(ISNUMBER(MATCH($A27, 대여현황!$A:$A, 0)), INDEX(대여현황!E:E, MATCH($A27, 대여현황!$A:$A, 0)), "")</f>
        <v/>
      </c>
      <c r="F56" s="20" t="str">
        <f>IF(ISNUMBER(MATCH($A56, 대여현황!$A:$A, 0)), INDEX(대여현황!F:F, MATCH($A56, 대여현황!$A:$A, 0)), "-")</f>
        <v>-</v>
      </c>
    </row>
    <row r="57" spans="1:6" ht="20" customHeight="1">
      <c r="A57" s="20">
        <v>275</v>
      </c>
      <c r="B57" s="21" t="s">
        <v>22</v>
      </c>
      <c r="C57" s="20" t="str">
        <f>IF(ISNUMBER(MATCH($A28, 대여현황!$A:$A, 0)), INDEX(대여현황!C:C, MATCH($A28, 대여현황!$A:$A, 0)), "")</f>
        <v/>
      </c>
      <c r="D57" s="20" t="str">
        <f>IF(ISNUMBER(MATCH($A28, 대여현황!$A:$A, 0)), INDEX(대여현황!D:D, MATCH($A28, 대여현황!$A:$A, 0)), "")</f>
        <v/>
      </c>
      <c r="E57" s="22" t="str">
        <f>IF(ISNUMBER(MATCH($A28, 대여현황!$A:$A, 0)), INDEX(대여현황!E:E, MATCH($A28, 대여현황!$A:$A, 0)), "")</f>
        <v/>
      </c>
      <c r="F57" s="20" t="str">
        <f>IF(ISNUMBER(MATCH($A57, 대여현황!$A:$A, 0)), INDEX(대여현황!F:F, MATCH($A57, 대여현황!$A:$A, 0)), "-")</f>
        <v>-</v>
      </c>
    </row>
    <row r="58" spans="1:6" ht="20" customHeight="1">
      <c r="A58" s="20">
        <v>276</v>
      </c>
      <c r="B58" s="21" t="s">
        <v>22</v>
      </c>
      <c r="C58" s="20" t="str">
        <f>IF(ISNUMBER(MATCH($A29, 대여현황!$A:$A, 0)), INDEX(대여현황!C:C, MATCH($A29, 대여현황!$A:$A, 0)), "")</f>
        <v/>
      </c>
      <c r="D58" s="20" t="str">
        <f>IF(ISNUMBER(MATCH($A29, 대여현황!$A:$A, 0)), INDEX(대여현황!D:D, MATCH($A29, 대여현황!$A:$A, 0)), "")</f>
        <v/>
      </c>
      <c r="E58" s="22" t="str">
        <f>IF(ISNUMBER(MATCH($A29, 대여현황!$A:$A, 0)), INDEX(대여현황!E:E, MATCH($A29, 대여현황!$A:$A, 0)), "")</f>
        <v/>
      </c>
      <c r="F58" s="20" t="str">
        <f>IF(ISNUMBER(MATCH($A58, 대여현황!$A:$A, 0)), INDEX(대여현황!F:F, MATCH($A58, 대여현황!$A:$A, 0)), "-")</f>
        <v>-</v>
      </c>
    </row>
    <row r="59" spans="1:6" ht="20" customHeight="1">
      <c r="A59" s="20">
        <v>277</v>
      </c>
      <c r="B59" s="21" t="s">
        <v>193</v>
      </c>
      <c r="C59" s="20" t="str">
        <f>IF(ISNUMBER(MATCH($A30, 대여현황!$A:$A, 0)), INDEX(대여현황!C:C, MATCH($A30, 대여현황!$A:$A, 0)), "")</f>
        <v/>
      </c>
      <c r="D59" s="20" t="str">
        <f>IF(ISNUMBER(MATCH($A30, 대여현황!$A:$A, 0)), INDEX(대여현황!D:D, MATCH($A30, 대여현황!$A:$A, 0)), "")</f>
        <v/>
      </c>
      <c r="E59" s="22" t="str">
        <f>IF(ISNUMBER(MATCH($A30, 대여현황!$A:$A, 0)), INDEX(대여현황!E:E, MATCH($A30, 대여현황!$A:$A, 0)), "")</f>
        <v/>
      </c>
      <c r="F59" s="20" t="str">
        <f>IF(ISNUMBER(MATCH($A59, 대여현황!$A:$A, 0)), INDEX(대여현황!F:F, MATCH($A59, 대여현황!$A:$A, 0)), "-")</f>
        <v>-</v>
      </c>
    </row>
    <row r="60" spans="1:6" ht="20" customHeight="1">
      <c r="A60" s="20">
        <v>278</v>
      </c>
      <c r="B60" s="21" t="s">
        <v>193</v>
      </c>
      <c r="C60" s="20" t="str">
        <f>IF(ISNUMBER(MATCH($A31, 대여현황!$A:$A, 0)), INDEX(대여현황!C:C, MATCH($A31, 대여현황!$A:$A, 0)), "")</f>
        <v/>
      </c>
      <c r="D60" s="20" t="str">
        <f>IF(ISNUMBER(MATCH($A31, 대여현황!$A:$A, 0)), INDEX(대여현황!D:D, MATCH($A31, 대여현황!$A:$A, 0)), "")</f>
        <v/>
      </c>
      <c r="E60" s="22" t="str">
        <f>IF(ISNUMBER(MATCH($A31, 대여현황!$A:$A, 0)), INDEX(대여현황!E:E, MATCH($A31, 대여현황!$A:$A, 0)), "")</f>
        <v/>
      </c>
      <c r="F60" s="20" t="str">
        <f>IF(ISNUMBER(MATCH($A60, 대여현황!$A:$A, 0)), INDEX(대여현황!F:F, MATCH($A60, 대여현황!$A:$A, 0)), "-")</f>
        <v>-</v>
      </c>
    </row>
    <row r="61" spans="1:6" ht="20" customHeight="1">
      <c r="A61" s="20">
        <v>279</v>
      </c>
      <c r="B61" s="21" t="s">
        <v>41</v>
      </c>
      <c r="C61" s="20" t="str">
        <f>IF(ISNUMBER(MATCH($A32, 대여현황!$A:$A, 0)), INDEX(대여현황!C:C, MATCH($A32, 대여현황!$A:$A, 0)), "")</f>
        <v/>
      </c>
      <c r="D61" s="20" t="str">
        <f>IF(ISNUMBER(MATCH($A32, 대여현황!$A:$A, 0)), INDEX(대여현황!D:D, MATCH($A32, 대여현황!$A:$A, 0)), "")</f>
        <v/>
      </c>
      <c r="E61" s="22" t="str">
        <f>IF(ISNUMBER(MATCH($A32, 대여현황!$A:$A, 0)), INDEX(대여현황!E:E, MATCH($A32, 대여현황!$A:$A, 0)), "")</f>
        <v/>
      </c>
      <c r="F61" s="20" t="str">
        <f>IF(ISNUMBER(MATCH($A61, 대여현황!$A:$A, 0)), INDEX(대여현황!F:F, MATCH($A61, 대여현황!$A:$A, 0)), "-")</f>
        <v>-</v>
      </c>
    </row>
    <row r="62" spans="1:6" ht="20" customHeight="1">
      <c r="A62" s="20">
        <v>280</v>
      </c>
      <c r="B62" s="21" t="s">
        <v>310</v>
      </c>
      <c r="C62" s="20" t="str">
        <f>IF(ISNUMBER(MATCH($A33, 대여현황!$A:$A, 0)), INDEX(대여현황!C:C, MATCH($A33, 대여현황!$A:$A, 0)), "")</f>
        <v/>
      </c>
      <c r="D62" s="20" t="str">
        <f>IF(ISNUMBER(MATCH($A33, 대여현황!$A:$A, 0)), INDEX(대여현황!D:D, MATCH($A33, 대여현황!$A:$A, 0)), "")</f>
        <v/>
      </c>
      <c r="E62" s="22" t="str">
        <f>IF(ISNUMBER(MATCH($A33, 대여현황!$A:$A, 0)), INDEX(대여현황!E:E, MATCH($A33, 대여현황!$A:$A, 0)), "")</f>
        <v/>
      </c>
      <c r="F62" s="20" t="str">
        <f>IF(ISNUMBER(MATCH($A62, 대여현황!$A:$A, 0)), INDEX(대여현황!F:F, MATCH($A62, 대여현황!$A:$A, 0)), "-")</f>
        <v>-</v>
      </c>
    </row>
    <row r="63" spans="1:6" ht="20" customHeight="1">
      <c r="A63" s="20">
        <v>281</v>
      </c>
      <c r="B63" s="21" t="s">
        <v>315</v>
      </c>
      <c r="C63" s="20" t="str">
        <f>IF(ISNUMBER(MATCH($A34, 대여현황!$A:$A, 0)), INDEX(대여현황!C:C, MATCH($A34, 대여현황!$A:$A, 0)), "")</f>
        <v/>
      </c>
      <c r="D63" s="20" t="str">
        <f>IF(ISNUMBER(MATCH($A34, 대여현황!$A:$A, 0)), INDEX(대여현황!D:D, MATCH($A34, 대여현황!$A:$A, 0)), "")</f>
        <v/>
      </c>
      <c r="E63" s="22" t="str">
        <f>IF(ISNUMBER(MATCH($A34, 대여현황!$A:$A, 0)), INDEX(대여현황!E:E, MATCH($A34, 대여현황!$A:$A, 0)), "")</f>
        <v/>
      </c>
      <c r="F63" s="20" t="str">
        <f>IF(ISNUMBER(MATCH($A63, 대여현황!$A:$A, 0)), INDEX(대여현황!F:F, MATCH($A63, 대여현황!$A:$A, 0)), "-")</f>
        <v>-</v>
      </c>
    </row>
    <row r="64" spans="1:6" ht="20" customHeight="1">
      <c r="A64" s="20">
        <v>282</v>
      </c>
      <c r="B64" s="21" t="s">
        <v>315</v>
      </c>
      <c r="C64" s="20" t="str">
        <f>IF(ISNUMBER(MATCH($A35, 대여현황!$A:$A, 0)), INDEX(대여현황!C:C, MATCH($A35, 대여현황!$A:$A, 0)), "")</f>
        <v/>
      </c>
      <c r="D64" s="20" t="str">
        <f>IF(ISNUMBER(MATCH($A35, 대여현황!$A:$A, 0)), INDEX(대여현황!D:D, MATCH($A35, 대여현황!$A:$A, 0)), "")</f>
        <v/>
      </c>
      <c r="E64" s="22" t="str">
        <f>IF(ISNUMBER(MATCH($A35, 대여현황!$A:$A, 0)), INDEX(대여현황!E:E, MATCH($A35, 대여현황!$A:$A, 0)), "")</f>
        <v/>
      </c>
      <c r="F64" s="20" t="str">
        <f>IF(ISNUMBER(MATCH($A64, 대여현황!$A:$A, 0)), INDEX(대여현황!F:F, MATCH($A64, 대여현황!$A:$A, 0)), "-")</f>
        <v>-</v>
      </c>
    </row>
    <row r="65" spans="1:6" ht="20" customHeight="1">
      <c r="A65" s="20">
        <v>283</v>
      </c>
      <c r="B65" s="21" t="s">
        <v>315</v>
      </c>
      <c r="C65" s="20" t="str">
        <f>IF(ISNUMBER(MATCH($A36, 대여현황!$A:$A, 0)), INDEX(대여현황!C:C, MATCH($A36, 대여현황!$A:$A, 0)), "")</f>
        <v/>
      </c>
      <c r="D65" s="20" t="str">
        <f>IF(ISNUMBER(MATCH($A36, 대여현황!$A:$A, 0)), INDEX(대여현황!D:D, MATCH($A36, 대여현황!$A:$A, 0)), "")</f>
        <v/>
      </c>
      <c r="E65" s="22" t="str">
        <f>IF(ISNUMBER(MATCH($A36, 대여현황!$A:$A, 0)), INDEX(대여현황!E:E, MATCH($A36, 대여현황!$A:$A, 0)), "")</f>
        <v/>
      </c>
      <c r="F65" s="20" t="str">
        <f>IF(ISNUMBER(MATCH($A65, 대여현황!$A:$A, 0)), INDEX(대여현황!F:F, MATCH($A65, 대여현황!$A:$A, 0)), "-")</f>
        <v>-</v>
      </c>
    </row>
    <row r="66" spans="1:6" ht="20" customHeight="1">
      <c r="A66" s="20">
        <v>284</v>
      </c>
      <c r="B66" s="21" t="s">
        <v>222</v>
      </c>
      <c r="C66" s="20" t="str">
        <f>IF(ISNUMBER(MATCH($A37, 대여현황!$A:$A, 0)), INDEX(대여현황!C:C, MATCH($A37, 대여현황!$A:$A, 0)), "")</f>
        <v/>
      </c>
      <c r="D66" s="20" t="str">
        <f>IF(ISNUMBER(MATCH($A37, 대여현황!$A:$A, 0)), INDEX(대여현황!D:D, MATCH($A37, 대여현황!$A:$A, 0)), "")</f>
        <v/>
      </c>
      <c r="E66" s="22" t="str">
        <f>IF(ISNUMBER(MATCH($A37, 대여현황!$A:$A, 0)), INDEX(대여현황!E:E, MATCH($A37, 대여현황!$A:$A, 0)), "")</f>
        <v/>
      </c>
      <c r="F66" s="20" t="str">
        <f>IF(ISNUMBER(MATCH($A66, 대여현황!$A:$A, 0)), INDEX(대여현황!F:F, MATCH($A66, 대여현황!$A:$A, 0)), "-")</f>
        <v>-</v>
      </c>
    </row>
    <row r="67" spans="1:6" ht="20" customHeight="1">
      <c r="A67" s="20">
        <v>285</v>
      </c>
      <c r="B67" s="21" t="s">
        <v>248</v>
      </c>
      <c r="C67" s="20" t="str">
        <f>IF(ISNUMBER(MATCH($A38, 대여현황!$A:$A, 0)), INDEX(대여현황!C:C, MATCH($A38, 대여현황!$A:$A, 0)), "")</f>
        <v/>
      </c>
      <c r="D67" s="20" t="str">
        <f>IF(ISNUMBER(MATCH($A38, 대여현황!$A:$A, 0)), INDEX(대여현황!D:D, MATCH($A38, 대여현황!$A:$A, 0)), "")</f>
        <v/>
      </c>
      <c r="E67" s="22" t="str">
        <f>IF(ISNUMBER(MATCH($A38, 대여현황!$A:$A, 0)), INDEX(대여현황!E:E, MATCH($A38, 대여현황!$A:$A, 0)), "")</f>
        <v/>
      </c>
      <c r="F67" s="20" t="str">
        <f>IF(ISNUMBER(MATCH($A67, 대여현황!$A:$A, 0)), INDEX(대여현황!F:F, MATCH($A67, 대여현황!$A:$A, 0)), "-")</f>
        <v>-</v>
      </c>
    </row>
    <row r="68" spans="1:6" ht="20" customHeight="1">
      <c r="A68" s="20">
        <v>286</v>
      </c>
      <c r="B68" s="21" t="s">
        <v>248</v>
      </c>
      <c r="C68" s="20" t="str">
        <f>IF(ISNUMBER(MATCH($A39, 대여현황!$A:$A, 0)), INDEX(대여현황!C:C, MATCH($A39, 대여현황!$A:$A, 0)), "")</f>
        <v/>
      </c>
      <c r="D68" s="20" t="str">
        <f>IF(ISNUMBER(MATCH($A39, 대여현황!$A:$A, 0)), INDEX(대여현황!D:D, MATCH($A39, 대여현황!$A:$A, 0)), "")</f>
        <v/>
      </c>
      <c r="E68" s="22" t="str">
        <f>IF(ISNUMBER(MATCH($A39, 대여현황!$A:$A, 0)), INDEX(대여현황!E:E, MATCH($A39, 대여현황!$A:$A, 0)), "")</f>
        <v/>
      </c>
      <c r="F68" s="20" t="str">
        <f>IF(ISNUMBER(MATCH($A68, 대여현황!$A:$A, 0)), INDEX(대여현황!F:F, MATCH($A68, 대여현황!$A:$A, 0)), "-")</f>
        <v>-</v>
      </c>
    </row>
    <row r="69" spans="1:6" ht="20" customHeight="1">
      <c r="A69" s="20">
        <v>287</v>
      </c>
      <c r="B69" s="21" t="s">
        <v>16</v>
      </c>
      <c r="C69" s="20" t="str">
        <f>IF(ISNUMBER(MATCH($A40, 대여현황!$A:$A, 0)), INDEX(대여현황!C:C, MATCH($A40, 대여현황!$A:$A, 0)), "")</f>
        <v/>
      </c>
      <c r="D69" s="20" t="str">
        <f>IF(ISNUMBER(MATCH($A40, 대여현황!$A:$A, 0)), INDEX(대여현황!D:D, MATCH($A40, 대여현황!$A:$A, 0)), "")</f>
        <v/>
      </c>
      <c r="E69" s="22" t="str">
        <f>IF(ISNUMBER(MATCH($A40, 대여현황!$A:$A, 0)), INDEX(대여현황!E:E, MATCH($A40, 대여현황!$A:$A, 0)), "")</f>
        <v/>
      </c>
      <c r="F69" s="20" t="str">
        <f>IF(ISNUMBER(MATCH($A69, 대여현황!$A:$A, 0)), INDEX(대여현황!F:F, MATCH($A69, 대여현황!$A:$A, 0)), "-")</f>
        <v>-</v>
      </c>
    </row>
    <row r="70" spans="1:6" ht="20" customHeight="1">
      <c r="A70" s="20">
        <v>288</v>
      </c>
      <c r="B70" s="21" t="s">
        <v>16</v>
      </c>
      <c r="C70" s="20" t="str">
        <f>IF(ISNUMBER(MATCH($A41, 대여현황!$A:$A, 0)), INDEX(대여현황!C:C, MATCH($A41, 대여현황!$A:$A, 0)), "")</f>
        <v/>
      </c>
      <c r="D70" s="20" t="str">
        <f>IF(ISNUMBER(MATCH($A41, 대여현황!$A:$A, 0)), INDEX(대여현황!D:D, MATCH($A41, 대여현황!$A:$A, 0)), "")</f>
        <v/>
      </c>
      <c r="E70" s="22" t="str">
        <f>IF(ISNUMBER(MATCH($A41, 대여현황!$A:$A, 0)), INDEX(대여현황!E:E, MATCH($A41, 대여현황!$A:$A, 0)), "")</f>
        <v/>
      </c>
      <c r="F70" s="20" t="str">
        <f>IF(ISNUMBER(MATCH($A70, 대여현황!$A:$A, 0)), INDEX(대여현황!F:F, MATCH($A70, 대여현황!$A:$A, 0)), "-")</f>
        <v>-</v>
      </c>
    </row>
    <row r="71" spans="1:6" ht="20" customHeight="1">
      <c r="A71" s="20">
        <v>289</v>
      </c>
      <c r="B71" s="21" t="s">
        <v>13</v>
      </c>
      <c r="C71" s="20" t="str">
        <f>IF(ISNUMBER(MATCH($A42, 대여현황!$A:$A, 0)), INDEX(대여현황!C:C, MATCH($A42, 대여현황!$A:$A, 0)), "")</f>
        <v/>
      </c>
      <c r="D71" s="20" t="str">
        <f>IF(ISNUMBER(MATCH($A42, 대여현황!$A:$A, 0)), INDEX(대여현황!D:D, MATCH($A42, 대여현황!$A:$A, 0)), "")</f>
        <v/>
      </c>
      <c r="E71" s="22" t="str">
        <f>IF(ISNUMBER(MATCH($A42, 대여현황!$A:$A, 0)), INDEX(대여현황!E:E, MATCH($A42, 대여현황!$A:$A, 0)), "")</f>
        <v/>
      </c>
      <c r="F71" s="20" t="str">
        <f>IF(ISNUMBER(MATCH($A71, 대여현황!$A:$A, 0)), INDEX(대여현황!F:F, MATCH($A71, 대여현황!$A:$A, 0)), "-")</f>
        <v>-</v>
      </c>
    </row>
    <row r="72" spans="1:6" ht="20" customHeight="1">
      <c r="A72" s="20">
        <v>290</v>
      </c>
      <c r="B72" s="21" t="s">
        <v>13</v>
      </c>
      <c r="C72" s="20" t="str">
        <f>IF(ISNUMBER(MATCH($A43, 대여현황!$A:$A, 0)), INDEX(대여현황!C:C, MATCH($A43, 대여현황!$A:$A, 0)), "")</f>
        <v/>
      </c>
      <c r="D72" s="20" t="str">
        <f>IF(ISNUMBER(MATCH($A43, 대여현황!$A:$A, 0)), INDEX(대여현황!D:D, MATCH($A43, 대여현황!$A:$A, 0)), "")</f>
        <v/>
      </c>
      <c r="E72" s="22" t="str">
        <f>IF(ISNUMBER(MATCH($A43, 대여현황!$A:$A, 0)), INDEX(대여현황!E:E, MATCH($A43, 대여현황!$A:$A, 0)), "")</f>
        <v/>
      </c>
      <c r="F72" s="20" t="str">
        <f>IF(ISNUMBER(MATCH($A72, 대여현황!$A:$A, 0)), INDEX(대여현황!F:F, MATCH($A72, 대여현황!$A:$A, 0)), "-")</f>
        <v>-</v>
      </c>
    </row>
    <row r="73" spans="1:6" ht="20" customHeight="1">
      <c r="A73" s="20">
        <v>291</v>
      </c>
      <c r="B73" s="21" t="s">
        <v>218</v>
      </c>
      <c r="C73" s="20" t="str">
        <f>IF(ISNUMBER(MATCH($A44, 대여현황!$A:$A, 0)), INDEX(대여현황!C:C, MATCH($A44, 대여현황!$A:$A, 0)), "")</f>
        <v/>
      </c>
      <c r="D73" s="20" t="str">
        <f>IF(ISNUMBER(MATCH($A44, 대여현황!$A:$A, 0)), INDEX(대여현황!D:D, MATCH($A44, 대여현황!$A:$A, 0)), "")</f>
        <v/>
      </c>
      <c r="E73" s="22" t="str">
        <f>IF(ISNUMBER(MATCH($A44, 대여현황!$A:$A, 0)), INDEX(대여현황!E:E, MATCH($A44, 대여현황!$A:$A, 0)), "")</f>
        <v/>
      </c>
      <c r="F73" s="20" t="str">
        <f>IF(ISNUMBER(MATCH($A73, 대여현황!$A:$A, 0)), INDEX(대여현황!F:F, MATCH($A73, 대여현황!$A:$A, 0)), "-")</f>
        <v>-</v>
      </c>
    </row>
    <row r="74" spans="1:6" ht="20" customHeight="1">
      <c r="A74" s="20">
        <v>292</v>
      </c>
      <c r="B74" s="21" t="s">
        <v>218</v>
      </c>
      <c r="C74" s="20" t="str">
        <f>IF(ISNUMBER(MATCH($A45, 대여현황!$A:$A, 0)), INDEX(대여현황!C:C, MATCH($A45, 대여현황!$A:$A, 0)), "")</f>
        <v/>
      </c>
      <c r="D74" s="20" t="str">
        <f>IF(ISNUMBER(MATCH($A45, 대여현황!$A:$A, 0)), INDEX(대여현황!D:D, MATCH($A45, 대여현황!$A:$A, 0)), "")</f>
        <v/>
      </c>
      <c r="E74" s="22" t="str">
        <f>IF(ISNUMBER(MATCH($A45, 대여현황!$A:$A, 0)), INDEX(대여현황!E:E, MATCH($A45, 대여현황!$A:$A, 0)), "")</f>
        <v/>
      </c>
      <c r="F74" s="20" t="str">
        <f>IF(ISNUMBER(MATCH($A74, 대여현황!$A:$A, 0)), INDEX(대여현황!F:F, MATCH($A74, 대여현황!$A:$A, 0)), "-")</f>
        <v>-</v>
      </c>
    </row>
    <row r="75" spans="1:6" ht="20" customHeight="1">
      <c r="A75" s="20">
        <v>293</v>
      </c>
      <c r="B75" s="21" t="s">
        <v>316</v>
      </c>
      <c r="C75" s="20" t="str">
        <f>IF(ISNUMBER(MATCH($A46, 대여현황!$A:$A, 0)), INDEX(대여현황!C:C, MATCH($A46, 대여현황!$A:$A, 0)), "")</f>
        <v/>
      </c>
      <c r="D75" s="20" t="str">
        <f>IF(ISNUMBER(MATCH($A46, 대여현황!$A:$A, 0)), INDEX(대여현황!D:D, MATCH($A46, 대여현황!$A:$A, 0)), "")</f>
        <v/>
      </c>
      <c r="E75" s="22" t="str">
        <f>IF(ISNUMBER(MATCH($A46, 대여현황!$A:$A, 0)), INDEX(대여현황!E:E, MATCH($A46, 대여현황!$A:$A, 0)), "")</f>
        <v/>
      </c>
      <c r="F75" s="20" t="str">
        <f>IF(ISNUMBER(MATCH($A75, 대여현황!$A:$A, 0)), INDEX(대여현황!F:F, MATCH($A75, 대여현황!$A:$A, 0)), "-")</f>
        <v>-</v>
      </c>
    </row>
    <row r="76" spans="1:6" ht="20" customHeight="1">
      <c r="A76" s="20">
        <v>294</v>
      </c>
      <c r="B76" s="21" t="s">
        <v>316</v>
      </c>
      <c r="C76" s="20" t="str">
        <f>IF(ISNUMBER(MATCH($A47, 대여현황!$A:$A, 0)), INDEX(대여현황!C:C, MATCH($A47, 대여현황!$A:$A, 0)), "")</f>
        <v/>
      </c>
      <c r="D76" s="20" t="str">
        <f>IF(ISNUMBER(MATCH($A47, 대여현황!$A:$A, 0)), INDEX(대여현황!D:D, MATCH($A47, 대여현황!$A:$A, 0)), "")</f>
        <v/>
      </c>
      <c r="E76" s="22" t="str">
        <f>IF(ISNUMBER(MATCH($A47, 대여현황!$A:$A, 0)), INDEX(대여현황!E:E, MATCH($A47, 대여현황!$A:$A, 0)), "")</f>
        <v/>
      </c>
      <c r="F76" s="20" t="str">
        <f>IF(ISNUMBER(MATCH($A76, 대여현황!$A:$A, 0)), INDEX(대여현황!F:F, MATCH($A76, 대여현황!$A:$A, 0)), "-")</f>
        <v>-</v>
      </c>
    </row>
    <row r="77" spans="1:6" ht="20" customHeight="1">
      <c r="A77" s="20">
        <v>295</v>
      </c>
      <c r="B77" s="21" t="s">
        <v>30</v>
      </c>
      <c r="C77" s="20" t="str">
        <f>IF(ISNUMBER(MATCH($A48, 대여현황!$A:$A, 0)), INDEX(대여현황!C:C, MATCH($A48, 대여현황!$A:$A, 0)), "")</f>
        <v/>
      </c>
      <c r="D77" s="20" t="str">
        <f>IF(ISNUMBER(MATCH($A48, 대여현황!$A:$A, 0)), INDEX(대여현황!D:D, MATCH($A48, 대여현황!$A:$A, 0)), "")</f>
        <v/>
      </c>
      <c r="E77" s="22" t="str">
        <f>IF(ISNUMBER(MATCH($A48, 대여현황!$A:$A, 0)), INDEX(대여현황!E:E, MATCH($A48, 대여현황!$A:$A, 0)), "")</f>
        <v/>
      </c>
      <c r="F77" s="20" t="str">
        <f>IF(ISNUMBER(MATCH($A77, 대여현황!$A:$A, 0)), INDEX(대여현황!F:F, MATCH($A77, 대여현황!$A:$A, 0)), "-")</f>
        <v>-</v>
      </c>
    </row>
    <row r="78" spans="1:6" ht="20" customHeight="1">
      <c r="A78" s="20">
        <v>296</v>
      </c>
      <c r="B78" s="21" t="s">
        <v>30</v>
      </c>
      <c r="C78" s="20" t="str">
        <f>IF(ISNUMBER(MATCH($A49, 대여현황!$A:$A, 0)), INDEX(대여현황!C:C, MATCH($A49, 대여현황!$A:$A, 0)), "")</f>
        <v/>
      </c>
      <c r="D78" s="20" t="str">
        <f>IF(ISNUMBER(MATCH($A49, 대여현황!$A:$A, 0)), INDEX(대여현황!D:D, MATCH($A49, 대여현황!$A:$A, 0)), "")</f>
        <v/>
      </c>
      <c r="E78" s="22" t="str">
        <f>IF(ISNUMBER(MATCH($A49, 대여현황!$A:$A, 0)), INDEX(대여현황!E:E, MATCH($A49, 대여현황!$A:$A, 0)), "")</f>
        <v/>
      </c>
      <c r="F78" s="20" t="str">
        <f>IF(ISNUMBER(MATCH($A78, 대여현황!$A:$A, 0)), INDEX(대여현황!F:F, MATCH($A78, 대여현황!$A:$A, 0)), "-")</f>
        <v>-</v>
      </c>
    </row>
    <row r="79" spans="1:6" ht="20" customHeight="1">
      <c r="A79" s="20">
        <v>297</v>
      </c>
      <c r="B79" s="21" t="s">
        <v>8</v>
      </c>
      <c r="C79" s="20" t="str">
        <f>IF(ISNUMBER(MATCH($A50, 대여현황!$A:$A, 0)), INDEX(대여현황!C:C, MATCH($A50, 대여현황!$A:$A, 0)), "")</f>
        <v/>
      </c>
      <c r="D79" s="20" t="str">
        <f>IF(ISNUMBER(MATCH($A50, 대여현황!$A:$A, 0)), INDEX(대여현황!D:D, MATCH($A50, 대여현황!$A:$A, 0)), "")</f>
        <v/>
      </c>
      <c r="E79" s="22" t="str">
        <f>IF(ISNUMBER(MATCH($A50, 대여현황!$A:$A, 0)), INDEX(대여현황!E:E, MATCH($A50, 대여현황!$A:$A, 0)), "")</f>
        <v/>
      </c>
      <c r="F79" s="20" t="str">
        <f>IF(ISNUMBER(MATCH($A79, 대여현황!$A:$A, 0)), INDEX(대여현황!F:F, MATCH($A79, 대여현황!$A:$A, 0)), "-")</f>
        <v>-</v>
      </c>
    </row>
    <row r="80" spans="1:6" ht="20" customHeight="1">
      <c r="A80" s="20">
        <v>298</v>
      </c>
      <c r="B80" s="21" t="s">
        <v>8</v>
      </c>
      <c r="C80" s="20" t="str">
        <f>IF(ISNUMBER(MATCH($A51, 대여현황!$A:$A, 0)), INDEX(대여현황!C:C, MATCH($A51, 대여현황!$A:$A, 0)), "")</f>
        <v/>
      </c>
      <c r="D80" s="20" t="str">
        <f>IF(ISNUMBER(MATCH($A51, 대여현황!$A:$A, 0)), INDEX(대여현황!D:D, MATCH($A51, 대여현황!$A:$A, 0)), "")</f>
        <v/>
      </c>
      <c r="E80" s="22" t="str">
        <f>IF(ISNUMBER(MATCH($A51, 대여현황!$A:$A, 0)), INDEX(대여현황!E:E, MATCH($A51, 대여현황!$A:$A, 0)), "")</f>
        <v/>
      </c>
      <c r="F80" s="20" t="str">
        <f>IF(ISNUMBER(MATCH($A80, 대여현황!$A:$A, 0)), INDEX(대여현황!F:F, MATCH($A80, 대여현황!$A:$A, 0)), "-")</f>
        <v>-</v>
      </c>
    </row>
    <row r="81" spans="1:6" ht="20" customHeight="1">
      <c r="A81" s="20">
        <v>299</v>
      </c>
      <c r="B81" s="21" t="s">
        <v>319</v>
      </c>
      <c r="C81" s="20" t="str">
        <f>IF(ISNUMBER(MATCH($A52, 대여현황!$A:$A, 0)), INDEX(대여현황!C:C, MATCH($A52, 대여현황!$A:$A, 0)), "")</f>
        <v/>
      </c>
      <c r="D81" s="20" t="str">
        <f>IF(ISNUMBER(MATCH($A52, 대여현황!$A:$A, 0)), INDEX(대여현황!D:D, MATCH($A52, 대여현황!$A:$A, 0)), "")</f>
        <v/>
      </c>
      <c r="E81" s="22" t="str">
        <f>IF(ISNUMBER(MATCH($A52, 대여현황!$A:$A, 0)), INDEX(대여현황!E:E, MATCH($A52, 대여현황!$A:$A, 0)), "")</f>
        <v/>
      </c>
      <c r="F81" s="20" t="str">
        <f>IF(ISNUMBER(MATCH($A81, 대여현황!$A:$A, 0)), INDEX(대여현황!F:F, MATCH($A81, 대여현황!$A:$A, 0)), "-")</f>
        <v>-</v>
      </c>
    </row>
    <row r="82" spans="1:6" ht="20" customHeight="1">
      <c r="A82" s="20">
        <v>300</v>
      </c>
      <c r="B82" s="21" t="s">
        <v>319</v>
      </c>
      <c r="C82" s="20" t="str">
        <f>IF(ISNUMBER(MATCH($A53, 대여현황!$A:$A, 0)), INDEX(대여현황!C:C, MATCH($A53, 대여현황!$A:$A, 0)), "")</f>
        <v/>
      </c>
      <c r="D82" s="20" t="str">
        <f>IF(ISNUMBER(MATCH($A53, 대여현황!$A:$A, 0)), INDEX(대여현황!D:D, MATCH($A53, 대여현황!$A:$A, 0)), "")</f>
        <v/>
      </c>
      <c r="E82" s="22" t="str">
        <f>IF(ISNUMBER(MATCH($A53, 대여현황!$A:$A, 0)), INDEX(대여현황!E:E, MATCH($A53, 대여현황!$A:$A, 0)), "")</f>
        <v/>
      </c>
      <c r="F82" s="20" t="str">
        <f>IF(ISNUMBER(MATCH($A82, 대여현황!$A:$A, 0)), INDEX(대여현황!F:F, MATCH($A82, 대여현황!$A:$A, 0)), "-")</f>
        <v>-</v>
      </c>
    </row>
    <row r="83" spans="1:6" ht="20" customHeight="1">
      <c r="A83" s="20">
        <v>301</v>
      </c>
      <c r="B83" s="21" t="s">
        <v>33</v>
      </c>
      <c r="C83" s="20" t="str">
        <f>IF(ISNUMBER(MATCH($A54, 대여현황!$A:$A, 0)), INDEX(대여현황!C:C, MATCH($A54, 대여현황!$A:$A, 0)), "")</f>
        <v/>
      </c>
      <c r="D83" s="20" t="str">
        <f>IF(ISNUMBER(MATCH($A54, 대여현황!$A:$A, 0)), INDEX(대여현황!D:D, MATCH($A54, 대여현황!$A:$A, 0)), "")</f>
        <v/>
      </c>
      <c r="E83" s="22" t="str">
        <f>IF(ISNUMBER(MATCH($A54, 대여현황!$A:$A, 0)), INDEX(대여현황!E:E, MATCH($A54, 대여현황!$A:$A, 0)), "")</f>
        <v/>
      </c>
      <c r="F83" s="20" t="str">
        <f>IF(ISNUMBER(MATCH($A83, 대여현황!$A:$A, 0)), INDEX(대여현황!F:F, MATCH($A83, 대여현황!$A:$A, 0)), "-")</f>
        <v>-</v>
      </c>
    </row>
    <row r="84" spans="1:6" ht="20" customHeight="1">
      <c r="A84" s="20">
        <v>302</v>
      </c>
      <c r="B84" s="21" t="s">
        <v>33</v>
      </c>
      <c r="C84" s="20" t="str">
        <f>IF(ISNUMBER(MATCH($A55, 대여현황!$A:$A, 0)), INDEX(대여현황!C:C, MATCH($A55, 대여현황!$A:$A, 0)), "")</f>
        <v/>
      </c>
      <c r="D84" s="20" t="str">
        <f>IF(ISNUMBER(MATCH($A55, 대여현황!$A:$A, 0)), INDEX(대여현황!D:D, MATCH($A55, 대여현황!$A:$A, 0)), "")</f>
        <v/>
      </c>
      <c r="E84" s="22" t="str">
        <f>IF(ISNUMBER(MATCH($A55, 대여현황!$A:$A, 0)), INDEX(대여현황!E:E, MATCH($A55, 대여현황!$A:$A, 0)), "")</f>
        <v/>
      </c>
      <c r="F84" s="20" t="str">
        <f>IF(ISNUMBER(MATCH($A84, 대여현황!$A:$A, 0)), INDEX(대여현황!F:F, MATCH($A84, 대여현황!$A:$A, 0)), "-")</f>
        <v>-</v>
      </c>
    </row>
    <row r="85" spans="1:6" ht="20" customHeight="1">
      <c r="A85" s="20">
        <v>303</v>
      </c>
      <c r="B85" s="21" t="s">
        <v>14</v>
      </c>
      <c r="C85" s="20" t="str">
        <f>IF(ISNUMBER(MATCH($A56, 대여현황!$A:$A, 0)), INDEX(대여현황!C:C, MATCH($A56, 대여현황!$A:$A, 0)), "")</f>
        <v/>
      </c>
      <c r="D85" s="20" t="str">
        <f>IF(ISNUMBER(MATCH($A56, 대여현황!$A:$A, 0)), INDEX(대여현황!D:D, MATCH($A56, 대여현황!$A:$A, 0)), "")</f>
        <v/>
      </c>
      <c r="E85" s="22" t="str">
        <f>IF(ISNUMBER(MATCH($A56, 대여현황!$A:$A, 0)), INDEX(대여현황!E:E, MATCH($A56, 대여현황!$A:$A, 0)), "")</f>
        <v/>
      </c>
      <c r="F85" s="20" t="str">
        <f>IF(ISNUMBER(MATCH($A85, 대여현황!$A:$A, 0)), INDEX(대여현황!F:F, MATCH($A85, 대여현황!$A:$A, 0)), "-")</f>
        <v>-</v>
      </c>
    </row>
    <row r="86" spans="1:6" ht="20" customHeight="1">
      <c r="A86" s="20">
        <v>304</v>
      </c>
      <c r="B86" s="21" t="s">
        <v>11</v>
      </c>
      <c r="C86" s="20" t="str">
        <f>IF(ISNUMBER(MATCH($A57, 대여현황!$A:$A, 0)), INDEX(대여현황!C:C, MATCH($A57, 대여현황!$A:$A, 0)), "")</f>
        <v/>
      </c>
      <c r="D86" s="20" t="str">
        <f>IF(ISNUMBER(MATCH($A57, 대여현황!$A:$A, 0)), INDEX(대여현황!D:D, MATCH($A57, 대여현황!$A:$A, 0)), "")</f>
        <v/>
      </c>
      <c r="E86" s="22" t="str">
        <f>IF(ISNUMBER(MATCH($A57, 대여현황!$A:$A, 0)), INDEX(대여현황!E:E, MATCH($A57, 대여현황!$A:$A, 0)), "")</f>
        <v/>
      </c>
      <c r="F86" s="20" t="str">
        <f>IF(ISNUMBER(MATCH($A86, 대여현황!$A:$A, 0)), INDEX(대여현황!F:F, MATCH($A86, 대여현황!$A:$A, 0)), "-")</f>
        <v>-</v>
      </c>
    </row>
    <row r="87" spans="1:6" ht="20" customHeight="1">
      <c r="A87" s="20">
        <v>305</v>
      </c>
      <c r="B87" s="21" t="s">
        <v>11</v>
      </c>
      <c r="C87" s="20" t="str">
        <f>IF(ISNUMBER(MATCH($A58, 대여현황!$A:$A, 0)), INDEX(대여현황!C:C, MATCH($A58, 대여현황!$A:$A, 0)), "")</f>
        <v/>
      </c>
      <c r="D87" s="20" t="str">
        <f>IF(ISNUMBER(MATCH($A58, 대여현황!$A:$A, 0)), INDEX(대여현황!D:D, MATCH($A58, 대여현황!$A:$A, 0)), "")</f>
        <v/>
      </c>
      <c r="E87" s="22" t="str">
        <f>IF(ISNUMBER(MATCH($A58, 대여현황!$A:$A, 0)), INDEX(대여현황!E:E, MATCH($A58, 대여현황!$A:$A, 0)), "")</f>
        <v/>
      </c>
      <c r="F87" s="20" t="str">
        <f>IF(ISNUMBER(MATCH($A87, 대여현황!$A:$A, 0)), INDEX(대여현황!F:F, MATCH($A87, 대여현황!$A:$A, 0)), "-")</f>
        <v>-</v>
      </c>
    </row>
    <row r="88" spans="1:6" ht="20" customHeight="1">
      <c r="A88" s="20">
        <v>306</v>
      </c>
      <c r="B88" s="21" t="s">
        <v>11</v>
      </c>
      <c r="C88" s="20" t="str">
        <f>IF(ISNUMBER(MATCH($A59, 대여현황!$A:$A, 0)), INDEX(대여현황!C:C, MATCH($A59, 대여현황!$A:$A, 0)), "")</f>
        <v/>
      </c>
      <c r="D88" s="20" t="str">
        <f>IF(ISNUMBER(MATCH($A59, 대여현황!$A:$A, 0)), INDEX(대여현황!D:D, MATCH($A59, 대여현황!$A:$A, 0)), "")</f>
        <v/>
      </c>
      <c r="E88" s="22" t="str">
        <f>IF(ISNUMBER(MATCH($A59, 대여현황!$A:$A, 0)), INDEX(대여현황!E:E, MATCH($A59, 대여현황!$A:$A, 0)), "")</f>
        <v/>
      </c>
      <c r="F88" s="20" t="str">
        <f>IF(ISNUMBER(MATCH($A88, 대여현황!$A:$A, 0)), INDEX(대여현황!F:F, MATCH($A88, 대여현황!$A:$A, 0)), "-")</f>
        <v>-</v>
      </c>
    </row>
    <row r="89" spans="1:6" ht="20" customHeight="1">
      <c r="A89" s="20">
        <v>307</v>
      </c>
      <c r="B89" s="21" t="s">
        <v>249</v>
      </c>
      <c r="C89" s="20" t="str">
        <f>IF(ISNUMBER(MATCH($A60, 대여현황!$A:$A, 0)), INDEX(대여현황!C:C, MATCH($A60, 대여현황!$A:$A, 0)), "")</f>
        <v/>
      </c>
      <c r="D89" s="20" t="str">
        <f>IF(ISNUMBER(MATCH($A60, 대여현황!$A:$A, 0)), INDEX(대여현황!D:D, MATCH($A60, 대여현황!$A:$A, 0)), "")</f>
        <v/>
      </c>
      <c r="E89" s="22" t="str">
        <f>IF(ISNUMBER(MATCH($A60, 대여현황!$A:$A, 0)), INDEX(대여현황!E:E, MATCH($A60, 대여현황!$A:$A, 0)), "")</f>
        <v/>
      </c>
      <c r="F89" s="20" t="str">
        <f>IF(ISNUMBER(MATCH($A89, 대여현황!$A:$A, 0)), INDEX(대여현황!F:F, MATCH($A89, 대여현황!$A:$A, 0)), "-")</f>
        <v>-</v>
      </c>
    </row>
    <row r="90" spans="1:6" ht="20" customHeight="1">
      <c r="A90" s="20">
        <v>308</v>
      </c>
      <c r="B90" s="21" t="s">
        <v>249</v>
      </c>
      <c r="C90" s="20" t="str">
        <f>IF(ISNUMBER(MATCH($A61, 대여현황!$A:$A, 0)), INDEX(대여현황!C:C, MATCH($A61, 대여현황!$A:$A, 0)), "")</f>
        <v/>
      </c>
      <c r="D90" s="20" t="str">
        <f>IF(ISNUMBER(MATCH($A61, 대여현황!$A:$A, 0)), INDEX(대여현황!D:D, MATCH($A61, 대여현황!$A:$A, 0)), "")</f>
        <v/>
      </c>
      <c r="E90" s="22" t="str">
        <f>IF(ISNUMBER(MATCH($A61, 대여현황!$A:$A, 0)), INDEX(대여현황!E:E, MATCH($A61, 대여현황!$A:$A, 0)), "")</f>
        <v/>
      </c>
      <c r="F90" s="20" t="str">
        <f>IF(ISNUMBER(MATCH($A90, 대여현황!$A:$A, 0)), INDEX(대여현황!F:F, MATCH($A90, 대여현황!$A:$A, 0)), "-")</f>
        <v>-</v>
      </c>
    </row>
    <row r="91" spans="1:6" ht="20" customHeight="1">
      <c r="A91" s="20">
        <v>309</v>
      </c>
      <c r="B91" s="21" t="s">
        <v>12</v>
      </c>
      <c r="C91" s="20" t="str">
        <f>IF(ISNUMBER(MATCH($A62, 대여현황!$A:$A, 0)), INDEX(대여현황!C:C, MATCH($A62, 대여현황!$A:$A, 0)), "")</f>
        <v/>
      </c>
      <c r="D91" s="20" t="str">
        <f>IF(ISNUMBER(MATCH($A62, 대여현황!$A:$A, 0)), INDEX(대여현황!D:D, MATCH($A62, 대여현황!$A:$A, 0)), "")</f>
        <v/>
      </c>
      <c r="E91" s="22" t="str">
        <f>IF(ISNUMBER(MATCH($A62, 대여현황!$A:$A, 0)), INDEX(대여현황!E:E, MATCH($A62, 대여현황!$A:$A, 0)), "")</f>
        <v/>
      </c>
      <c r="F91" s="20" t="str">
        <f>IF(ISNUMBER(MATCH($A91, 대여현황!$A:$A, 0)), INDEX(대여현황!F:F, MATCH($A91, 대여현황!$A:$A, 0)), "-")</f>
        <v>-</v>
      </c>
    </row>
    <row r="92" spans="1:6" ht="20" customHeight="1">
      <c r="A92" s="20">
        <v>310</v>
      </c>
      <c r="B92" s="21" t="s">
        <v>12</v>
      </c>
      <c r="C92" s="20" t="str">
        <f>IF(ISNUMBER(MATCH($A63, 대여현황!$A:$A, 0)), INDEX(대여현황!C:C, MATCH($A63, 대여현황!$A:$A, 0)), "")</f>
        <v/>
      </c>
      <c r="D92" s="20" t="str">
        <f>IF(ISNUMBER(MATCH($A63, 대여현황!$A:$A, 0)), INDEX(대여현황!D:D, MATCH($A63, 대여현황!$A:$A, 0)), "")</f>
        <v/>
      </c>
      <c r="E92" s="22" t="str">
        <f>IF(ISNUMBER(MATCH($A63, 대여현황!$A:$A, 0)), INDEX(대여현황!E:E, MATCH($A63, 대여현황!$A:$A, 0)), "")</f>
        <v/>
      </c>
      <c r="F92" s="20" t="str">
        <f>IF(ISNUMBER(MATCH($A92, 대여현황!$A:$A, 0)), INDEX(대여현황!F:F, MATCH($A92, 대여현황!$A:$A, 0)), "-")</f>
        <v>-</v>
      </c>
    </row>
    <row r="93" spans="1:6" ht="20" customHeight="1">
      <c r="A93" s="20">
        <v>311</v>
      </c>
      <c r="B93" s="21" t="s">
        <v>34</v>
      </c>
      <c r="C93" s="20" t="str">
        <f>IF(ISNUMBER(MATCH($A64, 대여현황!$A:$A, 0)), INDEX(대여현황!C:C, MATCH($A64, 대여현황!$A:$A, 0)), "")</f>
        <v/>
      </c>
      <c r="D93" s="20" t="str">
        <f>IF(ISNUMBER(MATCH($A64, 대여현황!$A:$A, 0)), INDEX(대여현황!D:D, MATCH($A64, 대여현황!$A:$A, 0)), "")</f>
        <v/>
      </c>
      <c r="E93" s="22" t="str">
        <f>IF(ISNUMBER(MATCH($A64, 대여현황!$A:$A, 0)), INDEX(대여현황!E:E, MATCH($A64, 대여현황!$A:$A, 0)), "")</f>
        <v/>
      </c>
      <c r="F93" s="20" t="str">
        <f>IF(ISNUMBER(MATCH($A93, 대여현황!$A:$A, 0)), INDEX(대여현황!F:F, MATCH($A93, 대여현황!$A:$A, 0)), "-")</f>
        <v>-</v>
      </c>
    </row>
    <row r="94" spans="1:6" ht="20" customHeight="1">
      <c r="A94" s="20">
        <v>312</v>
      </c>
      <c r="B94" s="21" t="s">
        <v>34</v>
      </c>
      <c r="C94" s="20" t="str">
        <f>IF(ISNUMBER(MATCH($A65, 대여현황!$A:$A, 0)), INDEX(대여현황!C:C, MATCH($A65, 대여현황!$A:$A, 0)), "")</f>
        <v/>
      </c>
      <c r="D94" s="20" t="str">
        <f>IF(ISNUMBER(MATCH($A65, 대여현황!$A:$A, 0)), INDEX(대여현황!D:D, MATCH($A65, 대여현황!$A:$A, 0)), "")</f>
        <v/>
      </c>
      <c r="E94" s="22" t="str">
        <f>IF(ISNUMBER(MATCH($A65, 대여현황!$A:$A, 0)), INDEX(대여현황!E:E, MATCH($A65, 대여현황!$A:$A, 0)), "")</f>
        <v/>
      </c>
      <c r="F94" s="20" t="str">
        <f>IF(ISNUMBER(MATCH($A94, 대여현황!$A:$A, 0)), INDEX(대여현황!F:F, MATCH($A94, 대여현황!$A:$A, 0)), "-")</f>
        <v>-</v>
      </c>
    </row>
    <row r="95" spans="1:6" ht="20" customHeight="1">
      <c r="A95" s="20">
        <v>313</v>
      </c>
      <c r="B95" s="21" t="s">
        <v>34</v>
      </c>
      <c r="C95" s="20" t="str">
        <f>IF(ISNUMBER(MATCH($A66, 대여현황!$A:$A, 0)), INDEX(대여현황!C:C, MATCH($A66, 대여현황!$A:$A, 0)), "")</f>
        <v/>
      </c>
      <c r="D95" s="20" t="str">
        <f>IF(ISNUMBER(MATCH($A66, 대여현황!$A:$A, 0)), INDEX(대여현황!D:D, MATCH($A66, 대여현황!$A:$A, 0)), "")</f>
        <v/>
      </c>
      <c r="E95" s="22" t="str">
        <f>IF(ISNUMBER(MATCH($A66, 대여현황!$A:$A, 0)), INDEX(대여현황!E:E, MATCH($A66, 대여현황!$A:$A, 0)), "")</f>
        <v/>
      </c>
      <c r="F95" s="20" t="str">
        <f>IF(ISNUMBER(MATCH($A95, 대여현황!$A:$A, 0)), INDEX(대여현황!F:F, MATCH($A95, 대여현황!$A:$A, 0)), "-")</f>
        <v>-</v>
      </c>
    </row>
    <row r="96" spans="1:6" ht="20" customHeight="1">
      <c r="A96" s="20">
        <v>314</v>
      </c>
      <c r="B96" s="21" t="s">
        <v>35</v>
      </c>
      <c r="C96" s="20" t="str">
        <f>IF(ISNUMBER(MATCH($A67, 대여현황!$A:$A, 0)), INDEX(대여현황!C:C, MATCH($A67, 대여현황!$A:$A, 0)), "")</f>
        <v/>
      </c>
      <c r="D96" s="20" t="str">
        <f>IF(ISNUMBER(MATCH($A67, 대여현황!$A:$A, 0)), INDEX(대여현황!D:D, MATCH($A67, 대여현황!$A:$A, 0)), "")</f>
        <v/>
      </c>
      <c r="E96" s="22" t="str">
        <f>IF(ISNUMBER(MATCH($A67, 대여현황!$A:$A, 0)), INDEX(대여현황!E:E, MATCH($A67, 대여현황!$A:$A, 0)), "")</f>
        <v/>
      </c>
      <c r="F96" s="20" t="str">
        <f>IF(ISNUMBER(MATCH($A96, 대여현황!$A:$A, 0)), INDEX(대여현황!F:F, MATCH($A96, 대여현황!$A:$A, 0)), "-")</f>
        <v>-</v>
      </c>
    </row>
    <row r="97" spans="1:6" ht="20" customHeight="1">
      <c r="A97" s="20">
        <v>315</v>
      </c>
      <c r="B97" s="21" t="s">
        <v>35</v>
      </c>
      <c r="C97" s="20" t="str">
        <f>IF(ISNUMBER(MATCH($A68, 대여현황!$A:$A, 0)), INDEX(대여현황!C:C, MATCH($A68, 대여현황!$A:$A, 0)), "")</f>
        <v/>
      </c>
      <c r="D97" s="20" t="str">
        <f>IF(ISNUMBER(MATCH($A68, 대여현황!$A:$A, 0)), INDEX(대여현황!D:D, MATCH($A68, 대여현황!$A:$A, 0)), "")</f>
        <v/>
      </c>
      <c r="E97" s="22" t="str">
        <f>IF(ISNUMBER(MATCH($A68, 대여현황!$A:$A, 0)), INDEX(대여현황!E:E, MATCH($A68, 대여현황!$A:$A, 0)), "")</f>
        <v/>
      </c>
      <c r="F97" s="20" t="str">
        <f>IF(ISNUMBER(MATCH($A97, 대여현황!$A:$A, 0)), INDEX(대여현황!F:F, MATCH($A97, 대여현황!$A:$A, 0)), "-")</f>
        <v>-</v>
      </c>
    </row>
    <row r="98" spans="1:6" ht="20" customHeight="1">
      <c r="A98" s="20">
        <v>316</v>
      </c>
      <c r="B98" s="21" t="s">
        <v>52</v>
      </c>
      <c r="C98" s="20" t="str">
        <f>IF(ISNUMBER(MATCH($A69, 대여현황!$A:$A, 0)), INDEX(대여현황!C:C, MATCH($A69, 대여현황!$A:$A, 0)), "")</f>
        <v/>
      </c>
      <c r="D98" s="20" t="str">
        <f>IF(ISNUMBER(MATCH($A69, 대여현황!$A:$A, 0)), INDEX(대여현황!D:D, MATCH($A69, 대여현황!$A:$A, 0)), "")</f>
        <v/>
      </c>
      <c r="E98" s="22" t="str">
        <f>IF(ISNUMBER(MATCH($A69, 대여현황!$A:$A, 0)), INDEX(대여현황!E:E, MATCH($A69, 대여현황!$A:$A, 0)), "")</f>
        <v/>
      </c>
      <c r="F98" s="20" t="str">
        <f>IF(ISNUMBER(MATCH($A98, 대여현황!$A:$A, 0)), INDEX(대여현황!F:F, MATCH($A98, 대여현황!$A:$A, 0)), "-")</f>
        <v>-</v>
      </c>
    </row>
    <row r="99" spans="1:6" ht="20" customHeight="1">
      <c r="A99" s="20">
        <v>317</v>
      </c>
      <c r="B99" s="21" t="s">
        <v>302</v>
      </c>
      <c r="C99" s="20" t="str">
        <f>IF(ISNUMBER(MATCH($A70, 대여현황!$A:$A, 0)), INDEX(대여현황!C:C, MATCH($A70, 대여현황!$A:$A, 0)), "")</f>
        <v/>
      </c>
      <c r="D99" s="20" t="str">
        <f>IF(ISNUMBER(MATCH($A70, 대여현황!$A:$A, 0)), INDEX(대여현황!D:D, MATCH($A70, 대여현황!$A:$A, 0)), "")</f>
        <v/>
      </c>
      <c r="E99" s="22" t="str">
        <f>IF(ISNUMBER(MATCH($A70, 대여현황!$A:$A, 0)), INDEX(대여현황!E:E, MATCH($A70, 대여현황!$A:$A, 0)), "")</f>
        <v/>
      </c>
      <c r="F99" s="20" t="str">
        <f>IF(ISNUMBER(MATCH($A99, 대여현황!$A:$A, 0)), INDEX(대여현황!F:F, MATCH($A99, 대여현황!$A:$A, 0)), "-")</f>
        <v>-</v>
      </c>
    </row>
    <row r="100" spans="1:6" ht="20" customHeight="1">
      <c r="A100" s="20">
        <v>318</v>
      </c>
      <c r="B100" s="21" t="s">
        <v>302</v>
      </c>
      <c r="C100" s="20" t="str">
        <f>IF(ISNUMBER(MATCH($A71, 대여현황!$A:$A, 0)), INDEX(대여현황!C:C, MATCH($A71, 대여현황!$A:$A, 0)), "")</f>
        <v/>
      </c>
      <c r="D100" s="20" t="str">
        <f>IF(ISNUMBER(MATCH($A71, 대여현황!$A:$A, 0)), INDEX(대여현황!D:D, MATCH($A71, 대여현황!$A:$A, 0)), "")</f>
        <v/>
      </c>
      <c r="E100" s="22" t="str">
        <f>IF(ISNUMBER(MATCH($A71, 대여현황!$A:$A, 0)), INDEX(대여현황!E:E, MATCH($A71, 대여현황!$A:$A, 0)), "")</f>
        <v/>
      </c>
      <c r="F100" s="20" t="str">
        <f>IF(ISNUMBER(MATCH($A100, 대여현황!$A:$A, 0)), INDEX(대여현황!F:F, MATCH($A100, 대여현황!$A:$A, 0)), "-")</f>
        <v>-</v>
      </c>
    </row>
    <row r="101" spans="1:6" ht="20" customHeight="1">
      <c r="A101" s="20">
        <v>319</v>
      </c>
      <c r="B101" s="21" t="s">
        <v>325</v>
      </c>
      <c r="C101" s="20" t="str">
        <f>IF(ISNUMBER(MATCH($A72, 대여현황!$A:$A, 0)), INDEX(대여현황!C:C, MATCH($A72, 대여현황!$A:$A, 0)), "")</f>
        <v/>
      </c>
      <c r="D101" s="20" t="str">
        <f>IF(ISNUMBER(MATCH($A72, 대여현황!$A:$A, 0)), INDEX(대여현황!D:D, MATCH($A72, 대여현황!$A:$A, 0)), "")</f>
        <v/>
      </c>
      <c r="E101" s="22" t="str">
        <f>IF(ISNUMBER(MATCH($A72, 대여현황!$A:$A, 0)), INDEX(대여현황!E:E, MATCH($A72, 대여현황!$A:$A, 0)), "")</f>
        <v/>
      </c>
      <c r="F101" s="20" t="str">
        <f>IF(ISNUMBER(MATCH($A101, 대여현황!$A:$A, 0)), INDEX(대여현황!F:F, MATCH($A101, 대여현황!$A:$A, 0)), "-")</f>
        <v>-</v>
      </c>
    </row>
    <row r="102" spans="1:6" ht="20" customHeight="1">
      <c r="A102" s="20">
        <v>320</v>
      </c>
      <c r="B102" s="21" t="s">
        <v>325</v>
      </c>
      <c r="C102" s="20" t="str">
        <f>IF(ISNUMBER(MATCH($A73, 대여현황!$A:$A, 0)), INDEX(대여현황!C:C, MATCH($A73, 대여현황!$A:$A, 0)), "")</f>
        <v/>
      </c>
      <c r="D102" s="20" t="str">
        <f>IF(ISNUMBER(MATCH($A73, 대여현황!$A:$A, 0)), INDEX(대여현황!D:D, MATCH($A73, 대여현황!$A:$A, 0)), "")</f>
        <v/>
      </c>
      <c r="E102" s="22" t="str">
        <f>IF(ISNUMBER(MATCH($A73, 대여현황!$A:$A, 0)), INDEX(대여현황!E:E, MATCH($A73, 대여현황!$A:$A, 0)), "")</f>
        <v/>
      </c>
      <c r="F102" s="20" t="str">
        <f>IF(ISNUMBER(MATCH($A102, 대여현황!$A:$A, 0)), INDEX(대여현황!F:F, MATCH($A102, 대여현황!$A:$A, 0)), "-")</f>
        <v>-</v>
      </c>
    </row>
    <row r="103" spans="1:6" ht="20" customHeight="1">
      <c r="A103" s="20">
        <v>321</v>
      </c>
      <c r="B103" s="21" t="s">
        <v>309</v>
      </c>
      <c r="C103" s="20" t="str">
        <f>IF(ISNUMBER(MATCH($A74, 대여현황!$A:$A, 0)), INDEX(대여현황!C:C, MATCH($A74, 대여현황!$A:$A, 0)), "")</f>
        <v/>
      </c>
      <c r="D103" s="20" t="str">
        <f>IF(ISNUMBER(MATCH($A74, 대여현황!$A:$A, 0)), INDEX(대여현황!D:D, MATCH($A74, 대여현황!$A:$A, 0)), "")</f>
        <v/>
      </c>
      <c r="E103" s="22" t="str">
        <f>IF(ISNUMBER(MATCH($A74, 대여현황!$A:$A, 0)), INDEX(대여현황!E:E, MATCH($A74, 대여현황!$A:$A, 0)), "")</f>
        <v/>
      </c>
      <c r="F103" s="20" t="str">
        <f>IF(ISNUMBER(MATCH($A103, 대여현황!$A:$A, 0)), INDEX(대여현황!F:F, MATCH($A103, 대여현황!$A:$A, 0)), "-")</f>
        <v>-</v>
      </c>
    </row>
    <row r="104" spans="1:6" ht="20" customHeight="1">
      <c r="A104" s="20">
        <v>322</v>
      </c>
      <c r="B104" s="21" t="s">
        <v>309</v>
      </c>
      <c r="C104" s="20" t="str">
        <f>IF(ISNUMBER(MATCH($A75, 대여현황!$A:$A, 0)), INDEX(대여현황!C:C, MATCH($A75, 대여현황!$A:$A, 0)), "")</f>
        <v/>
      </c>
      <c r="D104" s="20" t="str">
        <f>IF(ISNUMBER(MATCH($A75, 대여현황!$A:$A, 0)), INDEX(대여현황!D:D, MATCH($A75, 대여현황!$A:$A, 0)), "")</f>
        <v/>
      </c>
      <c r="E104" s="22" t="str">
        <f>IF(ISNUMBER(MATCH($A75, 대여현황!$A:$A, 0)), INDEX(대여현황!E:E, MATCH($A75, 대여현황!$A:$A, 0)), "")</f>
        <v/>
      </c>
      <c r="F104" s="20" t="str">
        <f>IF(ISNUMBER(MATCH($A104, 대여현황!$A:$A, 0)), INDEX(대여현황!F:F, MATCH($A104, 대여현황!$A:$A, 0)), "-")</f>
        <v>-</v>
      </c>
    </row>
    <row r="105" spans="1:6" ht="20" customHeight="1">
      <c r="A105" s="20">
        <v>323</v>
      </c>
      <c r="B105" s="21" t="s">
        <v>15</v>
      </c>
      <c r="C105" s="20" t="str">
        <f>IF(ISNUMBER(MATCH($A76, 대여현황!$A:$A, 0)), INDEX(대여현황!C:C, MATCH($A76, 대여현황!$A:$A, 0)), "")</f>
        <v/>
      </c>
      <c r="D105" s="20" t="str">
        <f>IF(ISNUMBER(MATCH($A76, 대여현황!$A:$A, 0)), INDEX(대여현황!D:D, MATCH($A76, 대여현황!$A:$A, 0)), "")</f>
        <v/>
      </c>
      <c r="E105" s="22" t="str">
        <f>IF(ISNUMBER(MATCH($A76, 대여현황!$A:$A, 0)), INDEX(대여현황!E:E, MATCH($A76, 대여현황!$A:$A, 0)), "")</f>
        <v/>
      </c>
      <c r="F105" s="20" t="str">
        <f>IF(ISNUMBER(MATCH($A105, 대여현황!$A:$A, 0)), INDEX(대여현황!F:F, MATCH($A105, 대여현황!$A:$A, 0)), "-")</f>
        <v>-</v>
      </c>
    </row>
    <row r="106" spans="1:6" ht="20" customHeight="1">
      <c r="A106" s="20">
        <v>324</v>
      </c>
      <c r="B106" s="21" t="s">
        <v>305</v>
      </c>
      <c r="C106" s="20" t="str">
        <f>IF(ISNUMBER(MATCH($A77, 대여현황!$A:$A, 0)), INDEX(대여현황!C:C, MATCH($A77, 대여현황!$A:$A, 0)), "")</f>
        <v/>
      </c>
      <c r="D106" s="20" t="str">
        <f>IF(ISNUMBER(MATCH($A77, 대여현황!$A:$A, 0)), INDEX(대여현황!D:D, MATCH($A77, 대여현황!$A:$A, 0)), "")</f>
        <v/>
      </c>
      <c r="E106" s="22" t="str">
        <f>IF(ISNUMBER(MATCH($A77, 대여현황!$A:$A, 0)), INDEX(대여현황!E:E, MATCH($A77, 대여현황!$A:$A, 0)), "")</f>
        <v/>
      </c>
      <c r="F106" s="20" t="str">
        <f>IF(ISNUMBER(MATCH($A106, 대여현황!$A:$A, 0)), INDEX(대여현황!F:F, MATCH($A106, 대여현황!$A:$A, 0)), "-")</f>
        <v>-</v>
      </c>
    </row>
    <row r="107" spans="1:6" ht="20" customHeight="1">
      <c r="A107" s="20">
        <v>325</v>
      </c>
      <c r="B107" s="21" t="s">
        <v>326</v>
      </c>
      <c r="C107" s="20" t="str">
        <f>IF(ISNUMBER(MATCH($A78, 대여현황!$A:$A, 0)), INDEX(대여현황!C:C, MATCH($A78, 대여현황!$A:$A, 0)), "")</f>
        <v/>
      </c>
      <c r="D107" s="20" t="str">
        <f>IF(ISNUMBER(MATCH($A78, 대여현황!$A:$A, 0)), INDEX(대여현황!D:D, MATCH($A78, 대여현황!$A:$A, 0)), "")</f>
        <v/>
      </c>
      <c r="E107" s="22" t="str">
        <f>IF(ISNUMBER(MATCH($A78, 대여현황!$A:$A, 0)), INDEX(대여현황!E:E, MATCH($A78, 대여현황!$A:$A, 0)), "")</f>
        <v/>
      </c>
      <c r="F107" s="20" t="str">
        <f>IF(ISNUMBER(MATCH($A107, 대여현황!$A:$A, 0)), INDEX(대여현황!F:F, MATCH($A107, 대여현황!$A:$A, 0)), "-")</f>
        <v>-</v>
      </c>
    </row>
    <row r="108" spans="1:6" ht="20" customHeight="1">
      <c r="A108" s="20">
        <v>326</v>
      </c>
      <c r="B108" s="21" t="s">
        <v>150</v>
      </c>
      <c r="C108" s="20" t="str">
        <f>IF(ISNUMBER(MATCH($A79, 대여현황!$A:$A, 0)), INDEX(대여현황!C:C, MATCH($A79, 대여현황!$A:$A, 0)), "")</f>
        <v/>
      </c>
      <c r="D108" s="20" t="str">
        <f>IF(ISNUMBER(MATCH($A79, 대여현황!$A:$A, 0)), INDEX(대여현황!D:D, MATCH($A79, 대여현황!$A:$A, 0)), "")</f>
        <v/>
      </c>
      <c r="E108" s="22" t="str">
        <f>IF(ISNUMBER(MATCH($A79, 대여현황!$A:$A, 0)), INDEX(대여현황!E:E, MATCH($A79, 대여현황!$A:$A, 0)), "")</f>
        <v/>
      </c>
      <c r="F108" s="20" t="str">
        <f>IF(ISNUMBER(MATCH($A108, 대여현황!$A:$A, 0)), INDEX(대여현황!F:F, MATCH($A108, 대여현황!$A:$A, 0)), "-")</f>
        <v>-</v>
      </c>
    </row>
    <row r="109" spans="1:6" ht="20" customHeight="1">
      <c r="A109" s="20">
        <v>327</v>
      </c>
      <c r="B109" s="21" t="s">
        <v>150</v>
      </c>
      <c r="C109" s="20" t="str">
        <f>IF(ISNUMBER(MATCH($A80, 대여현황!$A:$A, 0)), INDEX(대여현황!C:C, MATCH($A80, 대여현황!$A:$A, 0)), "")</f>
        <v/>
      </c>
      <c r="D109" s="20" t="str">
        <f>IF(ISNUMBER(MATCH($A80, 대여현황!$A:$A, 0)), INDEX(대여현황!D:D, MATCH($A80, 대여현황!$A:$A, 0)), "")</f>
        <v/>
      </c>
      <c r="E109" s="22" t="str">
        <f>IF(ISNUMBER(MATCH($A80, 대여현황!$A:$A, 0)), INDEX(대여현황!E:E, MATCH($A80, 대여현황!$A:$A, 0)), "")</f>
        <v/>
      </c>
      <c r="F109" s="20" t="str">
        <f>IF(ISNUMBER(MATCH($A109, 대여현황!$A:$A, 0)), INDEX(대여현황!F:F, MATCH($A109, 대여현황!$A:$A, 0)), "-")</f>
        <v>-</v>
      </c>
    </row>
    <row r="110" spans="1:6" ht="20" customHeight="1">
      <c r="A110" s="20">
        <v>328</v>
      </c>
      <c r="B110" s="21" t="s">
        <v>231</v>
      </c>
      <c r="C110" s="20" t="str">
        <f>IF(ISNUMBER(MATCH($A81, 대여현황!$A:$A, 0)), INDEX(대여현황!C:C, MATCH($A81, 대여현황!$A:$A, 0)), "")</f>
        <v/>
      </c>
      <c r="D110" s="20" t="str">
        <f>IF(ISNUMBER(MATCH($A81, 대여현황!$A:$A, 0)), INDEX(대여현황!D:D, MATCH($A81, 대여현황!$A:$A, 0)), "")</f>
        <v/>
      </c>
      <c r="E110" s="22" t="str">
        <f>IF(ISNUMBER(MATCH($A81, 대여현황!$A:$A, 0)), INDEX(대여현황!E:E, MATCH($A81, 대여현황!$A:$A, 0)), "")</f>
        <v/>
      </c>
      <c r="F110" s="20" t="str">
        <f>IF(ISNUMBER(MATCH($A110, 대여현황!$A:$A, 0)), INDEX(대여현황!F:F, MATCH($A110, 대여현황!$A:$A, 0)), "-")</f>
        <v>-</v>
      </c>
    </row>
    <row r="111" spans="1:6" ht="20" customHeight="1">
      <c r="A111" s="20">
        <v>329</v>
      </c>
      <c r="B111" s="21" t="s">
        <v>231</v>
      </c>
      <c r="C111" s="20" t="str">
        <f>IF(ISNUMBER(MATCH($A82, 대여현황!$A:$A, 0)), INDEX(대여현황!C:C, MATCH($A82, 대여현황!$A:$A, 0)), "")</f>
        <v/>
      </c>
      <c r="D111" s="20" t="str">
        <f>IF(ISNUMBER(MATCH($A82, 대여현황!$A:$A, 0)), INDEX(대여현황!D:D, MATCH($A82, 대여현황!$A:$A, 0)), "")</f>
        <v/>
      </c>
      <c r="E111" s="22" t="str">
        <f>IF(ISNUMBER(MATCH($A82, 대여현황!$A:$A, 0)), INDEX(대여현황!E:E, MATCH($A82, 대여현황!$A:$A, 0)), "")</f>
        <v/>
      </c>
      <c r="F111" s="20" t="str">
        <f>IF(ISNUMBER(MATCH($A111, 대여현황!$A:$A, 0)), INDEX(대여현황!F:F, MATCH($A111, 대여현황!$A:$A, 0)), "-")</f>
        <v>-</v>
      </c>
    </row>
    <row r="112" spans="1:6" ht="20" customHeight="1">
      <c r="A112" s="20">
        <v>330</v>
      </c>
      <c r="B112" s="21" t="s">
        <v>327</v>
      </c>
      <c r="C112" s="20" t="str">
        <f>IF(ISNUMBER(MATCH($A83, 대여현황!$A:$A, 0)), INDEX(대여현황!C:C, MATCH($A83, 대여현황!$A:$A, 0)), "")</f>
        <v/>
      </c>
      <c r="D112" s="20" t="str">
        <f>IF(ISNUMBER(MATCH($A83, 대여현황!$A:$A, 0)), INDEX(대여현황!D:D, MATCH($A83, 대여현황!$A:$A, 0)), "")</f>
        <v/>
      </c>
      <c r="E112" s="22" t="str">
        <f>IF(ISNUMBER(MATCH($A83, 대여현황!$A:$A, 0)), INDEX(대여현황!E:E, MATCH($A83, 대여현황!$A:$A, 0)), "")</f>
        <v/>
      </c>
      <c r="F112" s="20" t="str">
        <f>IF(ISNUMBER(MATCH($A112, 대여현황!$A:$A, 0)), INDEX(대여현황!F:F, MATCH($A112, 대여현황!$A:$A, 0)), "-")</f>
        <v>-</v>
      </c>
    </row>
    <row r="113" spans="1:6" ht="20" customHeight="1">
      <c r="A113" s="20"/>
      <c r="B113" s="21"/>
      <c r="C113" s="20" t="str">
        <f>IF(ISNUMBER(MATCH($A84, 대여현황!$A:$A, 0)), INDEX(대여현황!C:C, MATCH($A84, 대여현황!$A:$A, 0)), "")</f>
        <v/>
      </c>
      <c r="D113" s="20" t="str">
        <f>IF(ISNUMBER(MATCH($A84, 대여현황!$A:$A, 0)), INDEX(대여현황!D:D, MATCH($A84, 대여현황!$A:$A, 0)), "")</f>
        <v/>
      </c>
      <c r="E113" s="22" t="str">
        <f>IF(ISNUMBER(MATCH($A84, 대여현황!$A:$A, 0)), INDEX(대여현황!E:E, MATCH($A84, 대여현황!$A:$A, 0)), "")</f>
        <v/>
      </c>
      <c r="F113" s="20" t="str">
        <f>IF(ISNUMBER(MATCH($A113, 대여현황!$A:$A, 0)), INDEX(대여현황!F:F, MATCH($A113, 대여현황!$A:$A, 0)), "-")</f>
        <v>-</v>
      </c>
    </row>
    <row r="114" spans="1:6" ht="20" customHeight="1">
      <c r="A114" s="20"/>
      <c r="B114" s="21"/>
      <c r="C114" s="20" t="str">
        <f>IF(ISNUMBER(MATCH($A85, 대여현황!$A:$A, 0)), INDEX(대여현황!C:C, MATCH($A85, 대여현황!$A:$A, 0)), "")</f>
        <v/>
      </c>
      <c r="D114" s="20" t="str">
        <f>IF(ISNUMBER(MATCH($A85, 대여현황!$A:$A, 0)), INDEX(대여현황!D:D, MATCH($A85, 대여현황!$A:$A, 0)), "")</f>
        <v/>
      </c>
      <c r="E114" s="22" t="str">
        <f>IF(ISNUMBER(MATCH($A85, 대여현황!$A:$A, 0)), INDEX(대여현황!E:E, MATCH($A85, 대여현황!$A:$A, 0)), "")</f>
        <v/>
      </c>
      <c r="F114" s="20" t="str">
        <f>IF(ISNUMBER(MATCH($A114, 대여현황!$A:$A, 0)), INDEX(대여현황!F:F, MATCH($A114, 대여현황!$A:$A, 0)), "-")</f>
        <v>-</v>
      </c>
    </row>
    <row r="115" spans="1:6" ht="20" customHeight="1">
      <c r="A115" s="20"/>
      <c r="B115" s="21"/>
      <c r="C115" s="20" t="str">
        <f>IF(ISNUMBER(MATCH($A86, 대여현황!$A:$A, 0)), INDEX(대여현황!C:C, MATCH($A86, 대여현황!$A:$A, 0)), "")</f>
        <v/>
      </c>
      <c r="D115" s="20" t="str">
        <f>IF(ISNUMBER(MATCH($A86, 대여현황!$A:$A, 0)), INDEX(대여현황!D:D, MATCH($A86, 대여현황!$A:$A, 0)), "")</f>
        <v/>
      </c>
      <c r="E115" s="22" t="str">
        <f>IF(ISNUMBER(MATCH($A86, 대여현황!$A:$A, 0)), INDEX(대여현황!E:E, MATCH($A86, 대여현황!$A:$A, 0)), "")</f>
        <v/>
      </c>
      <c r="F115" s="20" t="str">
        <f>IF(ISNUMBER(MATCH($A115, 대여현황!$A:$A, 0)), INDEX(대여현황!F:F, MATCH($A115, 대여현황!$A:$A, 0)), "-")</f>
        <v>-</v>
      </c>
    </row>
    <row r="116" spans="1:6" ht="20" customHeight="1">
      <c r="A116" s="20"/>
      <c r="B116" s="21"/>
      <c r="C116" s="20" t="str">
        <f>IF(ISNUMBER(MATCH($A87, 대여현황!$A:$A, 0)), INDEX(대여현황!C:C, MATCH($A87, 대여현황!$A:$A, 0)), "")</f>
        <v/>
      </c>
      <c r="D116" s="20" t="str">
        <f>IF(ISNUMBER(MATCH($A87, 대여현황!$A:$A, 0)), INDEX(대여현황!D:D, MATCH($A87, 대여현황!$A:$A, 0)), "")</f>
        <v/>
      </c>
      <c r="E116" s="22" t="str">
        <f>IF(ISNUMBER(MATCH($A87, 대여현황!$A:$A, 0)), INDEX(대여현황!E:E, MATCH($A87, 대여현황!$A:$A, 0)), "")</f>
        <v/>
      </c>
      <c r="F116" s="20" t="str">
        <f>IF(ISNUMBER(MATCH($A116, 대여현황!$A:$A, 0)), INDEX(대여현황!F:F, MATCH($A116, 대여현황!$A:$A, 0)), "-")</f>
        <v>-</v>
      </c>
    </row>
    <row r="117" spans="1:6" ht="20" customHeight="1">
      <c r="A117" s="20"/>
      <c r="B117" s="21"/>
      <c r="C117" s="20" t="str">
        <f>IF(ISNUMBER(MATCH($A88, 대여현황!$A:$A, 0)), INDEX(대여현황!C:C, MATCH($A88, 대여현황!$A:$A, 0)), "")</f>
        <v/>
      </c>
      <c r="D117" s="20" t="str">
        <f>IF(ISNUMBER(MATCH($A88, 대여현황!$A:$A, 0)), INDEX(대여현황!D:D, MATCH($A88, 대여현황!$A:$A, 0)), "")</f>
        <v/>
      </c>
      <c r="E117" s="22" t="str">
        <f>IF(ISNUMBER(MATCH($A88, 대여현황!$A:$A, 0)), INDEX(대여현황!E:E, MATCH($A88, 대여현황!$A:$A, 0)), "")</f>
        <v/>
      </c>
      <c r="F117" s="20" t="str">
        <f>IF(ISNUMBER(MATCH($A117, 대여현황!$A:$A, 0)), INDEX(대여현황!F:F, MATCH($A117, 대여현황!$A:$A, 0)), "-")</f>
        <v>-</v>
      </c>
    </row>
    <row r="118" spans="1:6" ht="20" customHeight="1">
      <c r="A118" s="20"/>
      <c r="B118" s="21"/>
      <c r="C118" s="20" t="str">
        <f>IF(ISNUMBER(MATCH($A89, 대여현황!$A:$A, 0)), INDEX(대여현황!C:C, MATCH($A89, 대여현황!$A:$A, 0)), "")</f>
        <v/>
      </c>
      <c r="D118" s="20" t="str">
        <f>IF(ISNUMBER(MATCH($A89, 대여현황!$A:$A, 0)), INDEX(대여현황!D:D, MATCH($A89, 대여현황!$A:$A, 0)), "")</f>
        <v/>
      </c>
      <c r="E118" s="22" t="str">
        <f>IF(ISNUMBER(MATCH($A89, 대여현황!$A:$A, 0)), INDEX(대여현황!E:E, MATCH($A89, 대여현황!$A:$A, 0)), "")</f>
        <v/>
      </c>
      <c r="F118" s="20" t="str">
        <f>IF(ISNUMBER(MATCH($A118, 대여현황!$A:$A, 0)), INDEX(대여현황!F:F, MATCH($A118, 대여현황!$A:$A, 0)), "-")</f>
        <v>-</v>
      </c>
    </row>
    <row r="119" spans="1:6" ht="20" customHeight="1">
      <c r="A119" s="20"/>
      <c r="B119" s="21"/>
      <c r="C119" s="20" t="str">
        <f>IF(ISNUMBER(MATCH($A90, 대여현황!$A:$A, 0)), INDEX(대여현황!C:C, MATCH($A90, 대여현황!$A:$A, 0)), "")</f>
        <v/>
      </c>
      <c r="D119" s="20" t="str">
        <f>IF(ISNUMBER(MATCH($A90, 대여현황!$A:$A, 0)), INDEX(대여현황!D:D, MATCH($A90, 대여현황!$A:$A, 0)), "")</f>
        <v/>
      </c>
      <c r="E119" s="22" t="str">
        <f>IF(ISNUMBER(MATCH($A90, 대여현황!$A:$A, 0)), INDEX(대여현황!E:E, MATCH($A90, 대여현황!$A:$A, 0)), "")</f>
        <v/>
      </c>
      <c r="F119" s="20" t="str">
        <f>IF(ISNUMBER(MATCH($A119, 대여현황!$A:$A, 0)), INDEX(대여현황!F:F, MATCH($A119, 대여현황!$A:$A, 0)), "-")</f>
        <v>-</v>
      </c>
    </row>
    <row r="120" spans="1:6" ht="20" customHeight="1">
      <c r="A120" s="20"/>
      <c r="B120" s="21"/>
      <c r="C120" s="20" t="str">
        <f>IF(ISNUMBER(MATCH($A91, 대여현황!$A:$A, 0)), INDEX(대여현황!C:C, MATCH($A91, 대여현황!$A:$A, 0)), "")</f>
        <v/>
      </c>
      <c r="D120" s="20" t="str">
        <f>IF(ISNUMBER(MATCH($A91, 대여현황!$A:$A, 0)), INDEX(대여현황!D:D, MATCH($A91, 대여현황!$A:$A, 0)), "")</f>
        <v/>
      </c>
      <c r="E120" s="22" t="str">
        <f>IF(ISNUMBER(MATCH($A91, 대여현황!$A:$A, 0)), INDEX(대여현황!E:E, MATCH($A91, 대여현황!$A:$A, 0)), "")</f>
        <v/>
      </c>
      <c r="F120" s="20" t="str">
        <f>IF(ISNUMBER(MATCH($A120, 대여현황!$A:$A, 0)), INDEX(대여현황!F:F, MATCH($A120, 대여현황!$A:$A, 0)), "-")</f>
        <v>-</v>
      </c>
    </row>
    <row r="121" spans="1:6" ht="20" customHeight="1">
      <c r="A121" s="20"/>
      <c r="B121" s="21"/>
      <c r="C121" s="20" t="str">
        <f>IF(ISNUMBER(MATCH($A92, 대여현황!$A:$A, 0)), INDEX(대여현황!C:C, MATCH($A92, 대여현황!$A:$A, 0)), "")</f>
        <v/>
      </c>
      <c r="D121" s="20" t="str">
        <f>IF(ISNUMBER(MATCH($A92, 대여현황!$A:$A, 0)), INDEX(대여현황!D:D, MATCH($A92, 대여현황!$A:$A, 0)), "")</f>
        <v/>
      </c>
      <c r="E121" s="22" t="str">
        <f>IF(ISNUMBER(MATCH($A92, 대여현황!$A:$A, 0)), INDEX(대여현황!E:E, MATCH($A92, 대여현황!$A:$A, 0)), "")</f>
        <v/>
      </c>
      <c r="F121" s="20" t="str">
        <f>IF(ISNUMBER(MATCH($A121, 대여현황!$A:$A, 0)), INDEX(대여현황!F:F, MATCH($A121, 대여현황!$A:$A, 0)), "-")</f>
        <v>-</v>
      </c>
    </row>
    <row r="122" spans="1:6" ht="20" customHeight="1">
      <c r="A122" s="20"/>
      <c r="B122" s="21"/>
      <c r="C122" s="20" t="str">
        <f>IF(ISNUMBER(MATCH($A93, 대여현황!$A:$A, 0)), INDEX(대여현황!C:C, MATCH($A93, 대여현황!$A:$A, 0)), "")</f>
        <v/>
      </c>
      <c r="D122" s="20" t="str">
        <f>IF(ISNUMBER(MATCH($A93, 대여현황!$A:$A, 0)), INDEX(대여현황!D:D, MATCH($A93, 대여현황!$A:$A, 0)), "")</f>
        <v/>
      </c>
      <c r="E122" s="22" t="str">
        <f>IF(ISNUMBER(MATCH($A93, 대여현황!$A:$A, 0)), INDEX(대여현황!E:E, MATCH($A93, 대여현황!$A:$A, 0)), "")</f>
        <v/>
      </c>
      <c r="F122" s="20" t="str">
        <f>IF(ISNUMBER(MATCH($A122, 대여현황!$A:$A, 0)), INDEX(대여현황!F:F, MATCH($A122, 대여현황!$A:$A, 0)), "-")</f>
        <v>-</v>
      </c>
    </row>
    <row r="123" spans="1:6" ht="20" customHeight="1">
      <c r="A123" s="20"/>
      <c r="B123" s="21"/>
      <c r="C123" s="20" t="str">
        <f>IF(ISNUMBER(MATCH($A94, 대여현황!$A:$A, 0)), INDEX(대여현황!C:C, MATCH($A94, 대여현황!$A:$A, 0)), "")</f>
        <v/>
      </c>
      <c r="D123" s="20" t="str">
        <f>IF(ISNUMBER(MATCH($A94, 대여현황!$A:$A, 0)), INDEX(대여현황!D:D, MATCH($A94, 대여현황!$A:$A, 0)), "")</f>
        <v/>
      </c>
      <c r="E123" s="22" t="str">
        <f>IF(ISNUMBER(MATCH($A94, 대여현황!$A:$A, 0)), INDEX(대여현황!E:E, MATCH($A94, 대여현황!$A:$A, 0)), "")</f>
        <v/>
      </c>
      <c r="F123" s="20" t="str">
        <f>IF(ISNUMBER(MATCH($A123, 대여현황!$A:$A, 0)), INDEX(대여현황!F:F, MATCH($A123, 대여현황!$A:$A, 0)), "-")</f>
        <v>-</v>
      </c>
    </row>
    <row r="124" spans="1:6" ht="20" customHeight="1">
      <c r="A124" s="20"/>
      <c r="B124" s="21"/>
      <c r="C124" s="20" t="str">
        <f>IF(ISNUMBER(MATCH($A95, 대여현황!$A:$A, 0)), INDEX(대여현황!C:C, MATCH($A95, 대여현황!$A:$A, 0)), "")</f>
        <v/>
      </c>
      <c r="D124" s="20" t="str">
        <f>IF(ISNUMBER(MATCH($A95, 대여현황!$A:$A, 0)), INDEX(대여현황!D:D, MATCH($A95, 대여현황!$A:$A, 0)), "")</f>
        <v/>
      </c>
      <c r="E124" s="22" t="str">
        <f>IF(ISNUMBER(MATCH($A95, 대여현황!$A:$A, 0)), INDEX(대여현황!E:E, MATCH($A95, 대여현황!$A:$A, 0)), "")</f>
        <v/>
      </c>
      <c r="F124" s="20" t="str">
        <f>IF(ISNUMBER(MATCH($A124, 대여현황!$A:$A, 0)), INDEX(대여현황!F:F, MATCH($A124, 대여현황!$A:$A, 0)), "-")</f>
        <v>-</v>
      </c>
    </row>
    <row r="125" spans="1:6" ht="20" customHeight="1">
      <c r="A125" s="20"/>
      <c r="B125" s="21"/>
      <c r="C125" s="20" t="str">
        <f>IF(ISNUMBER(MATCH($A96, 대여현황!$A:$A, 0)), INDEX(대여현황!C:C, MATCH($A96, 대여현황!$A:$A, 0)), "")</f>
        <v/>
      </c>
      <c r="D125" s="20" t="str">
        <f>IF(ISNUMBER(MATCH($A96, 대여현황!$A:$A, 0)), INDEX(대여현황!D:D, MATCH($A96, 대여현황!$A:$A, 0)), "")</f>
        <v/>
      </c>
      <c r="E125" s="22" t="str">
        <f>IF(ISNUMBER(MATCH($A96, 대여현황!$A:$A, 0)), INDEX(대여현황!E:E, MATCH($A96, 대여현황!$A:$A, 0)), "")</f>
        <v/>
      </c>
      <c r="F125" s="20" t="str">
        <f>IF(ISNUMBER(MATCH($A125, 대여현황!$A:$A, 0)), INDEX(대여현황!F:F, MATCH($A125, 대여현황!$A:$A, 0)), "-")</f>
        <v>-</v>
      </c>
    </row>
    <row r="126" spans="1:6" ht="20" customHeight="1">
      <c r="A126" s="20"/>
      <c r="B126" s="21"/>
      <c r="C126" s="20" t="str">
        <f>IF(ISNUMBER(MATCH($A97, 대여현황!$A:$A, 0)), INDEX(대여현황!C:C, MATCH($A97, 대여현황!$A:$A, 0)), "")</f>
        <v/>
      </c>
      <c r="D126" s="20" t="str">
        <f>IF(ISNUMBER(MATCH($A97, 대여현황!$A:$A, 0)), INDEX(대여현황!D:D, MATCH($A97, 대여현황!$A:$A, 0)), "")</f>
        <v/>
      </c>
      <c r="E126" s="22" t="str">
        <f>IF(ISNUMBER(MATCH($A97, 대여현황!$A:$A, 0)), INDEX(대여현황!E:E, MATCH($A97, 대여현황!$A:$A, 0)), "")</f>
        <v/>
      </c>
      <c r="F126" s="20" t="str">
        <f>IF(ISNUMBER(MATCH($A126, 대여현황!$A:$A, 0)), INDEX(대여현황!F:F, MATCH($A126, 대여현황!$A:$A, 0)), "-")</f>
        <v>-</v>
      </c>
    </row>
    <row r="127" spans="1:6" ht="20" customHeight="1">
      <c r="A127" s="20"/>
      <c r="B127" s="21"/>
      <c r="C127" s="20" t="str">
        <f>IF(ISNUMBER(MATCH($A98, 대여현황!$A:$A, 0)), INDEX(대여현황!C:C, MATCH($A98, 대여현황!$A:$A, 0)), "")</f>
        <v/>
      </c>
      <c r="D127" s="20" t="str">
        <f>IF(ISNUMBER(MATCH($A98, 대여현황!$A:$A, 0)), INDEX(대여현황!D:D, MATCH($A98, 대여현황!$A:$A, 0)), "")</f>
        <v/>
      </c>
      <c r="E127" s="22" t="str">
        <f>IF(ISNUMBER(MATCH($A98, 대여현황!$A:$A, 0)), INDEX(대여현황!E:E, MATCH($A98, 대여현황!$A:$A, 0)), "")</f>
        <v/>
      </c>
      <c r="F127" s="20" t="str">
        <f>IF(ISNUMBER(MATCH($A127, 대여현황!$A:$A, 0)), INDEX(대여현황!F:F, MATCH($A127, 대여현황!$A:$A, 0)), "-")</f>
        <v>-</v>
      </c>
    </row>
    <row r="128" spans="1:6" ht="20" customHeight="1">
      <c r="A128" s="20"/>
      <c r="B128" s="21"/>
      <c r="C128" s="20" t="str">
        <f>IF(ISNUMBER(MATCH($A99, 대여현황!$A:$A, 0)), INDEX(대여현황!C:C, MATCH($A99, 대여현황!$A:$A, 0)), "")</f>
        <v/>
      </c>
      <c r="D128" s="20" t="str">
        <f>IF(ISNUMBER(MATCH($A99, 대여현황!$A:$A, 0)), INDEX(대여현황!D:D, MATCH($A99, 대여현황!$A:$A, 0)), "")</f>
        <v/>
      </c>
      <c r="E128" s="22" t="str">
        <f>IF(ISNUMBER(MATCH($A99, 대여현황!$A:$A, 0)), INDEX(대여현황!E:E, MATCH($A99, 대여현황!$A:$A, 0)), "")</f>
        <v/>
      </c>
      <c r="F128" s="20" t="str">
        <f>IF(ISNUMBER(MATCH($A128, 대여현황!$A:$A, 0)), INDEX(대여현황!F:F, MATCH($A128, 대여현황!$A:$A, 0)), "-")</f>
        <v>-</v>
      </c>
    </row>
    <row r="129" spans="1:6" ht="20" customHeight="1">
      <c r="A129" s="20"/>
      <c r="B129" s="21"/>
      <c r="C129" s="20" t="str">
        <f>IF(ISNUMBER(MATCH($A100, 대여현황!$A:$A, 0)), INDEX(대여현황!C:C, MATCH($A100, 대여현황!$A:$A, 0)), "")</f>
        <v/>
      </c>
      <c r="D129" s="20" t="str">
        <f>IF(ISNUMBER(MATCH($A100, 대여현황!$A:$A, 0)), INDEX(대여현황!D:D, MATCH($A100, 대여현황!$A:$A, 0)), "")</f>
        <v/>
      </c>
      <c r="E129" s="22" t="str">
        <f>IF(ISNUMBER(MATCH($A100, 대여현황!$A:$A, 0)), INDEX(대여현황!E:E, MATCH($A100, 대여현황!$A:$A, 0)), "")</f>
        <v/>
      </c>
      <c r="F129" s="20" t="str">
        <f>IF(ISNUMBER(MATCH($A129, 대여현황!$A:$A, 0)), INDEX(대여현황!F:F, MATCH($A129, 대여현황!$A:$A, 0)), "-")</f>
        <v>-</v>
      </c>
    </row>
    <row r="130" spans="1:6" ht="20" customHeight="1">
      <c r="A130" s="20"/>
      <c r="B130" s="21"/>
      <c r="C130" s="20" t="str">
        <f>IF(ISNUMBER(MATCH($A101, 대여현황!$A:$A, 0)), INDEX(대여현황!C:C, MATCH($A101, 대여현황!$A:$A, 0)), "")</f>
        <v/>
      </c>
      <c r="D130" s="20" t="str">
        <f>IF(ISNUMBER(MATCH($A101, 대여현황!$A:$A, 0)), INDEX(대여현황!D:D, MATCH($A101, 대여현황!$A:$A, 0)), "")</f>
        <v/>
      </c>
      <c r="E130" s="22" t="str">
        <f>IF(ISNUMBER(MATCH($A101, 대여현황!$A:$A, 0)), INDEX(대여현황!E:E, MATCH($A101, 대여현황!$A:$A, 0)), "")</f>
        <v/>
      </c>
      <c r="F130" s="20" t="str">
        <f>IF(ISNUMBER(MATCH($A130, 대여현황!$A:$A, 0)), INDEX(대여현황!F:F, MATCH($A130, 대여현황!$A:$A, 0)), "-")</f>
        <v>-</v>
      </c>
    </row>
    <row r="131" spans="1:6" ht="20" customHeight="1">
      <c r="A131" s="20"/>
      <c r="B131" s="21"/>
      <c r="C131" s="20" t="str">
        <f>IF(ISNUMBER(MATCH($A102, 대여현황!$A:$A, 0)), INDEX(대여현황!C:C, MATCH($A102, 대여현황!$A:$A, 0)), "")</f>
        <v/>
      </c>
      <c r="D131" s="20" t="str">
        <f>IF(ISNUMBER(MATCH($A102, 대여현황!$A:$A, 0)), INDEX(대여현황!D:D, MATCH($A102, 대여현황!$A:$A, 0)), "")</f>
        <v/>
      </c>
      <c r="E131" s="22" t="str">
        <f>IF(ISNUMBER(MATCH($A102, 대여현황!$A:$A, 0)), INDEX(대여현황!E:E, MATCH($A102, 대여현황!$A:$A, 0)), "")</f>
        <v/>
      </c>
      <c r="F131" s="20" t="str">
        <f>IF(ISNUMBER(MATCH($A131, 대여현황!$A:$A, 0)), INDEX(대여현황!F:F, MATCH($A131, 대여현황!$A:$A, 0)), "-")</f>
        <v>-</v>
      </c>
    </row>
    <row r="132" spans="1:6" ht="20" customHeight="1">
      <c r="A132" s="20"/>
      <c r="B132" s="21"/>
      <c r="C132" s="20" t="str">
        <f>IF(ISNUMBER(MATCH($A103, 대여현황!$A:$A, 0)), INDEX(대여현황!C:C, MATCH($A103, 대여현황!$A:$A, 0)), "")</f>
        <v/>
      </c>
      <c r="D132" s="20" t="str">
        <f>IF(ISNUMBER(MATCH($A103, 대여현황!$A:$A, 0)), INDEX(대여현황!D:D, MATCH($A103, 대여현황!$A:$A, 0)), "")</f>
        <v/>
      </c>
      <c r="E132" s="22" t="str">
        <f>IF(ISNUMBER(MATCH($A103, 대여현황!$A:$A, 0)), INDEX(대여현황!E:E, MATCH($A103, 대여현황!$A:$A, 0)), "")</f>
        <v/>
      </c>
      <c r="F132" s="20" t="str">
        <f>IF(ISNUMBER(MATCH($A132, 대여현황!$A:$A, 0)), INDEX(대여현황!F:F, MATCH($A132, 대여현황!$A:$A, 0)), "-")</f>
        <v>-</v>
      </c>
    </row>
    <row r="133" spans="1:6" ht="20" customHeight="1">
      <c r="A133" s="20"/>
      <c r="B133" s="21"/>
      <c r="C133" s="20" t="str">
        <f>IF(ISNUMBER(MATCH($A104, 대여현황!$A:$A, 0)), INDEX(대여현황!C:C, MATCH($A104, 대여현황!$A:$A, 0)), "")</f>
        <v/>
      </c>
      <c r="D133" s="20" t="str">
        <f>IF(ISNUMBER(MATCH($A104, 대여현황!$A:$A, 0)), INDEX(대여현황!D:D, MATCH($A104, 대여현황!$A:$A, 0)), "")</f>
        <v/>
      </c>
      <c r="E133" s="22" t="str">
        <f>IF(ISNUMBER(MATCH($A104, 대여현황!$A:$A, 0)), INDEX(대여현황!E:E, MATCH($A104, 대여현황!$A:$A, 0)), "")</f>
        <v/>
      </c>
      <c r="F133" s="20" t="str">
        <f>IF(ISNUMBER(MATCH($A133, 대여현황!$A:$A, 0)), INDEX(대여현황!F:F, MATCH($A133, 대여현황!$A:$A, 0)), "-")</f>
        <v>-</v>
      </c>
    </row>
    <row r="134" spans="1:6" ht="20" customHeight="1">
      <c r="A134" s="20"/>
      <c r="B134" s="21"/>
      <c r="C134" s="20" t="str">
        <f>IF(ISNUMBER(MATCH($A105, 대여현황!$A:$A, 0)), INDEX(대여현황!C:C, MATCH($A105, 대여현황!$A:$A, 0)), "")</f>
        <v/>
      </c>
      <c r="D134" s="20" t="str">
        <f>IF(ISNUMBER(MATCH($A105, 대여현황!$A:$A, 0)), INDEX(대여현황!D:D, MATCH($A105, 대여현황!$A:$A, 0)), "")</f>
        <v/>
      </c>
      <c r="E134" s="22" t="str">
        <f>IF(ISNUMBER(MATCH($A105, 대여현황!$A:$A, 0)), INDEX(대여현황!E:E, MATCH($A105, 대여현황!$A:$A, 0)), "")</f>
        <v/>
      </c>
      <c r="F134" s="20" t="str">
        <f>IF(ISNUMBER(MATCH($A134, 대여현황!$A:$A, 0)), INDEX(대여현황!F:F, MATCH($A134, 대여현황!$A:$A, 0)), "-")</f>
        <v>-</v>
      </c>
    </row>
    <row r="135" spans="1:6" ht="20" customHeight="1">
      <c r="A135" s="20"/>
      <c r="B135" s="21"/>
      <c r="C135" s="20" t="str">
        <f>IF(ISNUMBER(MATCH($A106, 대여현황!$A:$A, 0)), INDEX(대여현황!C:C, MATCH($A106, 대여현황!$A:$A, 0)), "")</f>
        <v/>
      </c>
      <c r="D135" s="20" t="str">
        <f>IF(ISNUMBER(MATCH($A106, 대여현황!$A:$A, 0)), INDEX(대여현황!D:D, MATCH($A106, 대여현황!$A:$A, 0)), "")</f>
        <v/>
      </c>
      <c r="E135" s="22" t="str">
        <f>IF(ISNUMBER(MATCH($A106, 대여현황!$A:$A, 0)), INDEX(대여현황!E:E, MATCH($A106, 대여현황!$A:$A, 0)), "")</f>
        <v/>
      </c>
      <c r="F135" s="20" t="str">
        <f>IF(ISNUMBER(MATCH($A135, 대여현황!$A:$A, 0)), INDEX(대여현황!F:F, MATCH($A135, 대여현황!$A:$A, 0)), "-")</f>
        <v>-</v>
      </c>
    </row>
    <row r="136" spans="1:6" ht="20" customHeight="1">
      <c r="A136" s="20"/>
      <c r="B136" s="21"/>
      <c r="C136" s="20" t="str">
        <f>IF(ISNUMBER(MATCH($A107, 대여현황!$A:$A, 0)), INDEX(대여현황!C:C, MATCH($A107, 대여현황!$A:$A, 0)), "")</f>
        <v/>
      </c>
      <c r="D136" s="20" t="str">
        <f>IF(ISNUMBER(MATCH($A107, 대여현황!$A:$A, 0)), INDEX(대여현황!D:D, MATCH($A107, 대여현황!$A:$A, 0)), "")</f>
        <v/>
      </c>
      <c r="E136" s="22" t="str">
        <f>IF(ISNUMBER(MATCH($A107, 대여현황!$A:$A, 0)), INDEX(대여현황!E:E, MATCH($A107, 대여현황!$A:$A, 0)), "")</f>
        <v/>
      </c>
      <c r="F136" s="20" t="str">
        <f>IF(ISNUMBER(MATCH($A136, 대여현황!$A:$A, 0)), INDEX(대여현황!F:F, MATCH($A136, 대여현황!$A:$A, 0)), "-")</f>
        <v>-</v>
      </c>
    </row>
    <row r="137" spans="1:6" ht="20" customHeight="1">
      <c r="A137" s="20"/>
      <c r="B137" s="21"/>
      <c r="C137" s="20" t="str">
        <f>IF(ISNUMBER(MATCH($A108, 대여현황!$A:$A, 0)), INDEX(대여현황!C:C, MATCH($A108, 대여현황!$A:$A, 0)), "")</f>
        <v/>
      </c>
      <c r="D137" s="20" t="str">
        <f>IF(ISNUMBER(MATCH($A108, 대여현황!$A:$A, 0)), INDEX(대여현황!D:D, MATCH($A108, 대여현황!$A:$A, 0)), "")</f>
        <v/>
      </c>
      <c r="E137" s="22" t="str">
        <f>IF(ISNUMBER(MATCH($A108, 대여현황!$A:$A, 0)), INDEX(대여현황!E:E, MATCH($A108, 대여현황!$A:$A, 0)), "")</f>
        <v/>
      </c>
      <c r="F137" s="20" t="str">
        <f>IF(ISNUMBER(MATCH($A137, 대여현황!$A:$A, 0)), INDEX(대여현황!F:F, MATCH($A137, 대여현황!$A:$A, 0)), "-")</f>
        <v>-</v>
      </c>
    </row>
    <row r="138" spans="1:6" ht="20" customHeight="1">
      <c r="A138" s="20"/>
      <c r="B138" s="21"/>
      <c r="C138" s="20" t="str">
        <f>IF(ISNUMBER(MATCH($A109, 대여현황!$A:$A, 0)), INDEX(대여현황!C:C, MATCH($A109, 대여현황!$A:$A, 0)), "")</f>
        <v/>
      </c>
      <c r="D138" s="20" t="str">
        <f>IF(ISNUMBER(MATCH($A109, 대여현황!$A:$A, 0)), INDEX(대여현황!D:D, MATCH($A109, 대여현황!$A:$A, 0)), "")</f>
        <v/>
      </c>
      <c r="E138" s="22" t="str">
        <f>IF(ISNUMBER(MATCH($A109, 대여현황!$A:$A, 0)), INDEX(대여현황!E:E, MATCH($A109, 대여현황!$A:$A, 0)), "")</f>
        <v/>
      </c>
      <c r="F138" s="20" t="str">
        <f>IF(ISNUMBER(MATCH($A138, 대여현황!$A:$A, 0)), INDEX(대여현황!F:F, MATCH($A138, 대여현황!$A:$A, 0)), "-")</f>
        <v>-</v>
      </c>
    </row>
    <row r="139" spans="1:6" ht="20" customHeight="1">
      <c r="A139" s="20"/>
      <c r="B139" s="21"/>
      <c r="C139" s="20" t="str">
        <f>IF(ISNUMBER(MATCH($A110, 대여현황!$A:$A, 0)), INDEX(대여현황!C:C, MATCH($A110, 대여현황!$A:$A, 0)), "")</f>
        <v/>
      </c>
      <c r="D139" s="20" t="str">
        <f>IF(ISNUMBER(MATCH($A110, 대여현황!$A:$A, 0)), INDEX(대여현황!D:D, MATCH($A110, 대여현황!$A:$A, 0)), "")</f>
        <v/>
      </c>
      <c r="E139" s="22" t="str">
        <f>IF(ISNUMBER(MATCH($A110, 대여현황!$A:$A, 0)), INDEX(대여현황!E:E, MATCH($A110, 대여현황!$A:$A, 0)), "")</f>
        <v/>
      </c>
      <c r="F139" s="20" t="str">
        <f>IF(ISNUMBER(MATCH($A139, 대여현황!$A:$A, 0)), INDEX(대여현황!F:F, MATCH($A139, 대여현황!$A:$A, 0)), "-")</f>
        <v>-</v>
      </c>
    </row>
    <row r="140" spans="1:6" ht="20" customHeight="1">
      <c r="A140" s="20"/>
      <c r="B140" s="21"/>
      <c r="C140" s="20" t="str">
        <f>IF(ISNUMBER(MATCH($A111, 대여현황!$A:$A, 0)), INDEX(대여현황!C:C, MATCH($A111, 대여현황!$A:$A, 0)), "")</f>
        <v/>
      </c>
      <c r="D140" s="20" t="str">
        <f>IF(ISNUMBER(MATCH($A111, 대여현황!$A:$A, 0)), INDEX(대여현황!D:D, MATCH($A111, 대여현황!$A:$A, 0)), "")</f>
        <v/>
      </c>
      <c r="E140" s="22" t="str">
        <f>IF(ISNUMBER(MATCH($A111, 대여현황!$A:$A, 0)), INDEX(대여현황!E:E, MATCH($A111, 대여현황!$A:$A, 0)), "")</f>
        <v/>
      </c>
      <c r="F140" s="20" t="str">
        <f>IF(ISNUMBER(MATCH($A140, 대여현황!$A:$A, 0)), INDEX(대여현황!F:F, MATCH($A140, 대여현황!$A:$A, 0)), "-")</f>
        <v>-</v>
      </c>
    </row>
    <row r="141" spans="1:6" ht="20" customHeight="1">
      <c r="A141" s="20"/>
      <c r="B141" s="21"/>
      <c r="C141" s="20" t="str">
        <f>IF(ISNUMBER(MATCH($A112, 대여현황!$A:$A, 0)), INDEX(대여현황!C:C, MATCH($A112, 대여현황!$A:$A, 0)), "")</f>
        <v/>
      </c>
      <c r="D141" s="20" t="str">
        <f>IF(ISNUMBER(MATCH($A112, 대여현황!$A:$A, 0)), INDEX(대여현황!D:D, MATCH($A112, 대여현황!$A:$A, 0)), "")</f>
        <v/>
      </c>
      <c r="E141" s="22" t="str">
        <f>IF(ISNUMBER(MATCH($A112, 대여현황!$A:$A, 0)), INDEX(대여현황!E:E, MATCH($A112, 대여현황!$A:$A, 0)), "")</f>
        <v/>
      </c>
      <c r="F141" s="20" t="str">
        <f>IF(ISNUMBER(MATCH($A141, 대여현황!$A:$A, 0)), INDEX(대여현황!F:F, MATCH($A141, 대여현황!$A:$A, 0)), "-")</f>
        <v>-</v>
      </c>
    </row>
    <row r="142" spans="1:6" ht="20" customHeight="1">
      <c r="A142" s="20"/>
      <c r="B142" s="21"/>
      <c r="C142" s="20" t="str">
        <f>IF(ISNUMBER(MATCH($A113, 대여현황!$A:$A, 0)), INDEX(대여현황!C:C, MATCH($A113, 대여현황!$A:$A, 0)), "")</f>
        <v/>
      </c>
      <c r="D142" s="20" t="str">
        <f>IF(ISNUMBER(MATCH($A113, 대여현황!$A:$A, 0)), INDEX(대여현황!D:D, MATCH($A113, 대여현황!$A:$A, 0)), "")</f>
        <v/>
      </c>
      <c r="E142" s="22" t="str">
        <f>IF(ISNUMBER(MATCH($A113, 대여현황!$A:$A, 0)), INDEX(대여현황!E:E, MATCH($A113, 대여현황!$A:$A, 0)), "")</f>
        <v/>
      </c>
      <c r="F142" s="20" t="str">
        <f>IF(ISNUMBER(MATCH($A142, 대여현황!$A:$A, 0)), INDEX(대여현황!F:F, MATCH($A142, 대여현황!$A:$A, 0)), "-")</f>
        <v>-</v>
      </c>
    </row>
    <row r="143" spans="1:6" ht="20" customHeight="1">
      <c r="A143" s="20"/>
      <c r="B143" s="21"/>
      <c r="C143" s="20" t="str">
        <f>IF(ISNUMBER(MATCH($A114, 대여현황!$A:$A, 0)), INDEX(대여현황!C:C, MATCH($A114, 대여현황!$A:$A, 0)), "")</f>
        <v/>
      </c>
      <c r="D143" s="20" t="str">
        <f>IF(ISNUMBER(MATCH($A114, 대여현황!$A:$A, 0)), INDEX(대여현황!D:D, MATCH($A114, 대여현황!$A:$A, 0)), "")</f>
        <v/>
      </c>
      <c r="E143" s="22" t="str">
        <f>IF(ISNUMBER(MATCH($A114, 대여현황!$A:$A, 0)), INDEX(대여현황!E:E, MATCH($A114, 대여현황!$A:$A, 0)), "")</f>
        <v/>
      </c>
      <c r="F143" s="20" t="str">
        <f>IF(ISNUMBER(MATCH($A143, 대여현황!$A:$A, 0)), INDEX(대여현황!F:F, MATCH($A143, 대여현황!$A:$A, 0)), "-")</f>
        <v>-</v>
      </c>
    </row>
    <row r="144" spans="1:6" ht="20" customHeight="1">
      <c r="A144" s="20"/>
      <c r="B144" s="21"/>
      <c r="C144" s="20" t="str">
        <f>IF(ISNUMBER(MATCH($A115, 대여현황!$A:$A, 0)), INDEX(대여현황!C:C, MATCH($A115, 대여현황!$A:$A, 0)), "")</f>
        <v/>
      </c>
      <c r="D144" s="20" t="str">
        <f>IF(ISNUMBER(MATCH($A115, 대여현황!$A:$A, 0)), INDEX(대여현황!D:D, MATCH($A115, 대여현황!$A:$A, 0)), "")</f>
        <v/>
      </c>
      <c r="E144" s="22" t="str">
        <f>IF(ISNUMBER(MATCH($A115, 대여현황!$A:$A, 0)), INDEX(대여현황!E:E, MATCH($A115, 대여현황!$A:$A, 0)), "")</f>
        <v/>
      </c>
      <c r="F144" s="20" t="str">
        <f>IF(ISNUMBER(MATCH($A144, 대여현황!$A:$A, 0)), INDEX(대여현황!F:F, MATCH($A144, 대여현황!$A:$A, 0)), "-")</f>
        <v>-</v>
      </c>
    </row>
    <row r="145" spans="1:6" ht="20" customHeight="1">
      <c r="A145" s="20"/>
      <c r="B145" s="21"/>
      <c r="C145" s="20" t="str">
        <f>IF(ISNUMBER(MATCH($A116, 대여현황!$A:$A, 0)), INDEX(대여현황!C:C, MATCH($A116, 대여현황!$A:$A, 0)), "")</f>
        <v/>
      </c>
      <c r="D145" s="20" t="str">
        <f>IF(ISNUMBER(MATCH($A116, 대여현황!$A:$A, 0)), INDEX(대여현황!D:D, MATCH($A116, 대여현황!$A:$A, 0)), "")</f>
        <v/>
      </c>
      <c r="E145" s="22" t="str">
        <f>IF(ISNUMBER(MATCH($A116, 대여현황!$A:$A, 0)), INDEX(대여현황!E:E, MATCH($A116, 대여현황!$A:$A, 0)), "")</f>
        <v/>
      </c>
      <c r="F145" s="20" t="str">
        <f>IF(ISNUMBER(MATCH($A145, 대여현황!$A:$A, 0)), INDEX(대여현황!F:F, MATCH($A145, 대여현황!$A:$A, 0)), "-")</f>
        <v>-</v>
      </c>
    </row>
    <row r="146" spans="1:6" ht="20" customHeight="1">
      <c r="A146" s="20"/>
      <c r="B146" s="21"/>
      <c r="C146" s="20" t="str">
        <f>IF(ISNUMBER(MATCH($A117, 대여현황!$A:$A, 0)), INDEX(대여현황!C:C, MATCH($A117, 대여현황!$A:$A, 0)), "")</f>
        <v/>
      </c>
      <c r="D146" s="20" t="str">
        <f>IF(ISNUMBER(MATCH($A117, 대여현황!$A:$A, 0)), INDEX(대여현황!D:D, MATCH($A117, 대여현황!$A:$A, 0)), "")</f>
        <v/>
      </c>
      <c r="E146" s="22" t="str">
        <f>IF(ISNUMBER(MATCH($A117, 대여현황!$A:$A, 0)), INDEX(대여현황!E:E, MATCH($A117, 대여현황!$A:$A, 0)), "")</f>
        <v/>
      </c>
      <c r="F146" s="20" t="str">
        <f>IF(ISNUMBER(MATCH($A146, 대여현황!$A:$A, 0)), INDEX(대여현황!F:F, MATCH($A146, 대여현황!$A:$A, 0)), "-")</f>
        <v>-</v>
      </c>
    </row>
    <row r="147" spans="1:6" ht="20" customHeight="1">
      <c r="A147" s="20"/>
      <c r="B147" s="21"/>
      <c r="C147" s="20" t="str">
        <f>IF(ISNUMBER(MATCH($A118, 대여현황!$A:$A, 0)), INDEX(대여현황!C:C, MATCH($A118, 대여현황!$A:$A, 0)), "")</f>
        <v/>
      </c>
      <c r="D147" s="20" t="str">
        <f>IF(ISNUMBER(MATCH($A118, 대여현황!$A:$A, 0)), INDEX(대여현황!D:D, MATCH($A118, 대여현황!$A:$A, 0)), "")</f>
        <v/>
      </c>
      <c r="E147" s="22" t="str">
        <f>IF(ISNUMBER(MATCH($A118, 대여현황!$A:$A, 0)), INDEX(대여현황!E:E, MATCH($A118, 대여현황!$A:$A, 0)), "")</f>
        <v/>
      </c>
      <c r="F147" s="20" t="str">
        <f>IF(ISNUMBER(MATCH($A147, 대여현황!$A:$A, 0)), INDEX(대여현황!F:F, MATCH($A147, 대여현황!$A:$A, 0)), "-")</f>
        <v>-</v>
      </c>
    </row>
    <row r="148" spans="1:6" ht="20" customHeight="1">
      <c r="A148" s="20"/>
      <c r="B148" s="21"/>
      <c r="C148" s="20" t="str">
        <f>IF(ISNUMBER(MATCH($A119, 대여현황!$A:$A, 0)), INDEX(대여현황!C:C, MATCH($A119, 대여현황!$A:$A, 0)), "")</f>
        <v/>
      </c>
      <c r="D148" s="20" t="str">
        <f>IF(ISNUMBER(MATCH($A119, 대여현황!$A:$A, 0)), INDEX(대여현황!D:D, MATCH($A119, 대여현황!$A:$A, 0)), "")</f>
        <v/>
      </c>
      <c r="E148" s="22" t="str">
        <f>IF(ISNUMBER(MATCH($A119, 대여현황!$A:$A, 0)), INDEX(대여현황!E:E, MATCH($A119, 대여현황!$A:$A, 0)), "")</f>
        <v/>
      </c>
      <c r="F148" s="20" t="str">
        <f>IF(ISNUMBER(MATCH($A148, 대여현황!$A:$A, 0)), INDEX(대여현황!F:F, MATCH($A148, 대여현황!$A:$A, 0)), "-")</f>
        <v>-</v>
      </c>
    </row>
    <row r="149" spans="1:6" ht="20" customHeight="1">
      <c r="A149" s="20"/>
      <c r="B149" s="21"/>
      <c r="C149" s="20" t="str">
        <f>IF(ISNUMBER(MATCH($A120, 대여현황!$A:$A, 0)), INDEX(대여현황!C:C, MATCH($A120, 대여현황!$A:$A, 0)), "")</f>
        <v/>
      </c>
      <c r="D149" s="20" t="str">
        <f>IF(ISNUMBER(MATCH($A120, 대여현황!$A:$A, 0)), INDEX(대여현황!D:D, MATCH($A120, 대여현황!$A:$A, 0)), "")</f>
        <v/>
      </c>
      <c r="E149" s="22" t="str">
        <f>IF(ISNUMBER(MATCH($A120, 대여현황!$A:$A, 0)), INDEX(대여현황!E:E, MATCH($A120, 대여현황!$A:$A, 0)), "")</f>
        <v/>
      </c>
      <c r="F149" s="20" t="str">
        <f>IF(ISNUMBER(MATCH($A149, 대여현황!$A:$A, 0)), INDEX(대여현황!F:F, MATCH($A149, 대여현황!$A:$A, 0)), "-")</f>
        <v>-</v>
      </c>
    </row>
    <row r="150" spans="1:6" ht="20" customHeight="1">
      <c r="A150" s="20"/>
      <c r="B150" s="21"/>
      <c r="C150" s="20" t="str">
        <f>IF(ISNUMBER(MATCH($A121, 대여현황!$A:$A, 0)), INDEX(대여현황!C:C, MATCH($A121, 대여현황!$A:$A, 0)), "")</f>
        <v/>
      </c>
      <c r="D150" s="20" t="str">
        <f>IF(ISNUMBER(MATCH($A121, 대여현황!$A:$A, 0)), INDEX(대여현황!D:D, MATCH($A121, 대여현황!$A:$A, 0)), "")</f>
        <v/>
      </c>
      <c r="E150" s="22" t="str">
        <f>IF(ISNUMBER(MATCH($A121, 대여현황!$A:$A, 0)), INDEX(대여현황!E:E, MATCH($A121, 대여현황!$A:$A, 0)), "")</f>
        <v/>
      </c>
      <c r="F150" s="20" t="str">
        <f>IF(ISNUMBER(MATCH($A150, 대여현황!$A:$A, 0)), INDEX(대여현황!F:F, MATCH($A150, 대여현황!$A:$A, 0)), "-")</f>
        <v>-</v>
      </c>
    </row>
    <row r="151" spans="1:6" ht="20" customHeight="1">
      <c r="A151" s="20"/>
      <c r="B151" s="21"/>
      <c r="C151" s="20" t="str">
        <f>IF(ISNUMBER(MATCH($A122, 대여현황!$A:$A, 0)), INDEX(대여현황!C:C, MATCH($A122, 대여현황!$A:$A, 0)), "")</f>
        <v/>
      </c>
      <c r="D151" s="20" t="str">
        <f>IF(ISNUMBER(MATCH($A122, 대여현황!$A:$A, 0)), INDEX(대여현황!D:D, MATCH($A122, 대여현황!$A:$A, 0)), "")</f>
        <v/>
      </c>
      <c r="E151" s="22" t="str">
        <f>IF(ISNUMBER(MATCH($A122, 대여현황!$A:$A, 0)), INDEX(대여현황!E:E, MATCH($A122, 대여현황!$A:$A, 0)), "")</f>
        <v/>
      </c>
      <c r="F151" s="20" t="str">
        <f>IF(ISNUMBER(MATCH($A151, 대여현황!$A:$A, 0)), INDEX(대여현황!F:F, MATCH($A151, 대여현황!$A:$A, 0)), "-")</f>
        <v>-</v>
      </c>
    </row>
    <row r="152" spans="1:6" ht="20" customHeight="1">
      <c r="A152" s="20"/>
      <c r="B152" s="21"/>
      <c r="C152" s="20" t="str">
        <f>IF(ISNUMBER(MATCH($A123, 대여현황!$A:$A, 0)), INDEX(대여현황!C:C, MATCH($A123, 대여현황!$A:$A, 0)), "")</f>
        <v/>
      </c>
      <c r="D152" s="20" t="str">
        <f>IF(ISNUMBER(MATCH($A123, 대여현황!$A:$A, 0)), INDEX(대여현황!D:D, MATCH($A123, 대여현황!$A:$A, 0)), "")</f>
        <v/>
      </c>
      <c r="E152" s="22" t="str">
        <f>IF(ISNUMBER(MATCH($A123, 대여현황!$A:$A, 0)), INDEX(대여현황!E:E, MATCH($A123, 대여현황!$A:$A, 0)), "")</f>
        <v/>
      </c>
      <c r="F152" s="20" t="str">
        <f>IF(ISNUMBER(MATCH($A152, 대여현황!$A:$A, 0)), INDEX(대여현황!F:F, MATCH($A152, 대여현황!$A:$A, 0)), "-")</f>
        <v>-</v>
      </c>
    </row>
    <row r="153" spans="1:6" ht="20" customHeight="1">
      <c r="A153" s="20"/>
      <c r="B153" s="21"/>
      <c r="C153" s="20" t="str">
        <f>IF(ISNUMBER(MATCH($A124, 대여현황!$A:$A, 0)), INDEX(대여현황!C:C, MATCH($A124, 대여현황!$A:$A, 0)), "")</f>
        <v/>
      </c>
      <c r="D153" s="20" t="str">
        <f>IF(ISNUMBER(MATCH($A124, 대여현황!$A:$A, 0)), INDEX(대여현황!D:D, MATCH($A124, 대여현황!$A:$A, 0)), "")</f>
        <v/>
      </c>
      <c r="E153" s="22" t="str">
        <f>IF(ISNUMBER(MATCH($A124, 대여현황!$A:$A, 0)), INDEX(대여현황!E:E, MATCH($A124, 대여현황!$A:$A, 0)), "")</f>
        <v/>
      </c>
      <c r="F153" s="20" t="str">
        <f>IF(ISNUMBER(MATCH($A153, 대여현황!$A:$A, 0)), INDEX(대여현황!F:F, MATCH($A153, 대여현황!$A:$A, 0)), "-")</f>
        <v>-</v>
      </c>
    </row>
    <row r="154" spans="1:6" ht="20" customHeight="1">
      <c r="A154" s="20"/>
      <c r="B154" s="21"/>
      <c r="C154" s="20" t="str">
        <f>IF(ISNUMBER(MATCH($A125, 대여현황!$A:$A, 0)), INDEX(대여현황!C:C, MATCH($A125, 대여현황!$A:$A, 0)), "")</f>
        <v/>
      </c>
      <c r="D154" s="20" t="str">
        <f>IF(ISNUMBER(MATCH($A125, 대여현황!$A:$A, 0)), INDEX(대여현황!D:D, MATCH($A125, 대여현황!$A:$A, 0)), "")</f>
        <v/>
      </c>
      <c r="E154" s="22" t="str">
        <f>IF(ISNUMBER(MATCH($A125, 대여현황!$A:$A, 0)), INDEX(대여현황!E:E, MATCH($A125, 대여현황!$A:$A, 0)), "")</f>
        <v/>
      </c>
      <c r="F154" s="20" t="str">
        <f>IF(ISNUMBER(MATCH($A154, 대여현황!$A:$A, 0)), INDEX(대여현황!F:F, MATCH($A154, 대여현황!$A:$A, 0)), "-")</f>
        <v>-</v>
      </c>
    </row>
    <row r="155" spans="1:6" ht="20" customHeight="1">
      <c r="A155" s="20"/>
      <c r="B155" s="21"/>
      <c r="C155" s="20" t="str">
        <f>IF(ISNUMBER(MATCH($A126, 대여현황!$A:$A, 0)), INDEX(대여현황!C:C, MATCH($A126, 대여현황!$A:$A, 0)), "")</f>
        <v/>
      </c>
      <c r="D155" s="20" t="str">
        <f>IF(ISNUMBER(MATCH($A126, 대여현황!$A:$A, 0)), INDEX(대여현황!D:D, MATCH($A126, 대여현황!$A:$A, 0)), "")</f>
        <v/>
      </c>
      <c r="E155" s="22" t="str">
        <f>IF(ISNUMBER(MATCH($A126, 대여현황!$A:$A, 0)), INDEX(대여현황!E:E, MATCH($A126, 대여현황!$A:$A, 0)), "")</f>
        <v/>
      </c>
      <c r="F155" s="20" t="str">
        <f>IF(ISNUMBER(MATCH($A155, 대여현황!$A:$A, 0)), INDEX(대여현황!F:F, MATCH($A155, 대여현황!$A:$A, 0)), "-")</f>
        <v>-</v>
      </c>
    </row>
    <row r="156" spans="1:6" ht="20" customHeight="1">
      <c r="A156" s="20"/>
      <c r="B156" s="21"/>
      <c r="C156" s="20" t="str">
        <f>IF(ISNUMBER(MATCH($A127, 대여현황!$A:$A, 0)), INDEX(대여현황!C:C, MATCH($A127, 대여현황!$A:$A, 0)), "")</f>
        <v/>
      </c>
      <c r="D156" s="20" t="str">
        <f>IF(ISNUMBER(MATCH($A127, 대여현황!$A:$A, 0)), INDEX(대여현황!D:D, MATCH($A127, 대여현황!$A:$A, 0)), "")</f>
        <v/>
      </c>
      <c r="E156" s="22" t="str">
        <f>IF(ISNUMBER(MATCH($A127, 대여현황!$A:$A, 0)), INDEX(대여현황!E:E, MATCH($A127, 대여현황!$A:$A, 0)), "")</f>
        <v/>
      </c>
      <c r="F156" s="20" t="str">
        <f>IF(ISNUMBER(MATCH($A156, 대여현황!$A:$A, 0)), INDEX(대여현황!F:F, MATCH($A156, 대여현황!$A:$A, 0)), "-")</f>
        <v>-</v>
      </c>
    </row>
    <row r="157" spans="1:6" ht="20" customHeight="1">
      <c r="A157" s="20"/>
      <c r="B157" s="21"/>
      <c r="C157" s="20" t="str">
        <f>IF(ISNUMBER(MATCH($A128, 대여현황!$A:$A, 0)), INDEX(대여현황!C:C, MATCH($A128, 대여현황!$A:$A, 0)), "")</f>
        <v/>
      </c>
      <c r="D157" s="20" t="str">
        <f>IF(ISNUMBER(MATCH($A128, 대여현황!$A:$A, 0)), INDEX(대여현황!D:D, MATCH($A128, 대여현황!$A:$A, 0)), "")</f>
        <v/>
      </c>
      <c r="E157" s="22" t="str">
        <f>IF(ISNUMBER(MATCH($A128, 대여현황!$A:$A, 0)), INDEX(대여현황!E:E, MATCH($A128, 대여현황!$A:$A, 0)), "")</f>
        <v/>
      </c>
      <c r="F157" s="20" t="str">
        <f>IF(ISNUMBER(MATCH($A157, 대여현황!$A:$A, 0)), INDEX(대여현황!F:F, MATCH($A157, 대여현황!$A:$A, 0)), "-")</f>
        <v>-</v>
      </c>
    </row>
    <row r="158" spans="1:6" ht="20" customHeight="1">
      <c r="A158" s="20"/>
      <c r="B158" s="21"/>
      <c r="C158" s="20" t="str">
        <f>IF(ISNUMBER(MATCH($A129, 대여현황!$A:$A, 0)), INDEX(대여현황!C:C, MATCH($A129, 대여현황!$A:$A, 0)), "")</f>
        <v/>
      </c>
      <c r="D158" s="20" t="str">
        <f>IF(ISNUMBER(MATCH($A129, 대여현황!$A:$A, 0)), INDEX(대여현황!D:D, MATCH($A129, 대여현황!$A:$A, 0)), "")</f>
        <v/>
      </c>
      <c r="E158" s="22" t="str">
        <f>IF(ISNUMBER(MATCH($A129, 대여현황!$A:$A, 0)), INDEX(대여현황!E:E, MATCH($A129, 대여현황!$A:$A, 0)), "")</f>
        <v/>
      </c>
      <c r="F158" s="20" t="str">
        <f>IF(ISNUMBER(MATCH($A158, 대여현황!$A:$A, 0)), INDEX(대여현황!F:F, MATCH($A158, 대여현황!$A:$A, 0)), "-")</f>
        <v>-</v>
      </c>
    </row>
    <row r="159" spans="1:6" ht="20" customHeight="1">
      <c r="A159" s="20"/>
      <c r="B159" s="21"/>
      <c r="C159" s="20" t="str">
        <f>IF(ISNUMBER(MATCH($A130, 대여현황!$A:$A, 0)), INDEX(대여현황!C:C, MATCH($A130, 대여현황!$A:$A, 0)), "")</f>
        <v/>
      </c>
      <c r="D159" s="20" t="str">
        <f>IF(ISNUMBER(MATCH($A130, 대여현황!$A:$A, 0)), INDEX(대여현황!D:D, MATCH($A130, 대여현황!$A:$A, 0)), "")</f>
        <v/>
      </c>
      <c r="E159" s="22" t="str">
        <f>IF(ISNUMBER(MATCH($A130, 대여현황!$A:$A, 0)), INDEX(대여현황!E:E, MATCH($A130, 대여현황!$A:$A, 0)), "")</f>
        <v/>
      </c>
      <c r="F159" s="20" t="str">
        <f>IF(ISNUMBER(MATCH($A159, 대여현황!$A:$A, 0)), INDEX(대여현황!F:F, MATCH($A159, 대여현황!$A:$A, 0)), "-")</f>
        <v>-</v>
      </c>
    </row>
    <row r="160" spans="1:6" ht="20" customHeight="1">
      <c r="A160" s="20"/>
      <c r="B160" s="21"/>
      <c r="C160" s="20" t="str">
        <f>IF(ISNUMBER(MATCH($A131, 대여현황!$A:$A, 0)), INDEX(대여현황!C:C, MATCH($A131, 대여현황!$A:$A, 0)), "")</f>
        <v/>
      </c>
      <c r="D160" s="20" t="str">
        <f>IF(ISNUMBER(MATCH($A131, 대여현황!$A:$A, 0)), INDEX(대여현황!D:D, MATCH($A131, 대여현황!$A:$A, 0)), "")</f>
        <v/>
      </c>
      <c r="E160" s="22" t="str">
        <f>IF(ISNUMBER(MATCH($A131, 대여현황!$A:$A, 0)), INDEX(대여현황!E:E, MATCH($A131, 대여현황!$A:$A, 0)), "")</f>
        <v/>
      </c>
      <c r="F160" s="20" t="str">
        <f>IF(ISNUMBER(MATCH($A160, 대여현황!$A:$A, 0)), INDEX(대여현황!F:F, MATCH($A160, 대여현황!$A:$A, 0)), "-")</f>
        <v>-</v>
      </c>
    </row>
    <row r="161" spans="1:6" ht="20" customHeight="1">
      <c r="A161" s="20"/>
      <c r="B161" s="21"/>
      <c r="C161" s="20" t="str">
        <f>IF(ISNUMBER(MATCH($A132, 대여현황!$A:$A, 0)), INDEX(대여현황!C:C, MATCH($A132, 대여현황!$A:$A, 0)), "")</f>
        <v/>
      </c>
      <c r="D161" s="20" t="str">
        <f>IF(ISNUMBER(MATCH($A132, 대여현황!$A:$A, 0)), INDEX(대여현황!D:D, MATCH($A132, 대여현황!$A:$A, 0)), "")</f>
        <v/>
      </c>
      <c r="E161" s="22" t="str">
        <f>IF(ISNUMBER(MATCH($A132, 대여현황!$A:$A, 0)), INDEX(대여현황!E:E, MATCH($A132, 대여현황!$A:$A, 0)), "")</f>
        <v/>
      </c>
      <c r="F161" s="20" t="str">
        <f>IF(ISNUMBER(MATCH($A161, 대여현황!$A:$A, 0)), INDEX(대여현황!F:F, MATCH($A161, 대여현황!$A:$A, 0)), "-")</f>
        <v>-</v>
      </c>
    </row>
    <row r="162" spans="1:6" ht="20" customHeight="1">
      <c r="A162" s="20"/>
      <c r="B162" s="21"/>
      <c r="C162" s="20" t="str">
        <f>IF(ISNUMBER(MATCH($A133, 대여현황!$A:$A, 0)), INDEX(대여현황!C:C, MATCH($A133, 대여현황!$A:$A, 0)), "")</f>
        <v/>
      </c>
      <c r="D162" s="20" t="str">
        <f>IF(ISNUMBER(MATCH($A133, 대여현황!$A:$A, 0)), INDEX(대여현황!D:D, MATCH($A133, 대여현황!$A:$A, 0)), "")</f>
        <v/>
      </c>
      <c r="E162" s="22" t="str">
        <f>IF(ISNUMBER(MATCH($A133, 대여현황!$A:$A, 0)), INDEX(대여현황!E:E, MATCH($A133, 대여현황!$A:$A, 0)), "")</f>
        <v/>
      </c>
      <c r="F162" s="20" t="str">
        <f>IF(ISNUMBER(MATCH($A162, 대여현황!$A:$A, 0)), INDEX(대여현황!F:F, MATCH($A162, 대여현황!$A:$A, 0)), "-")</f>
        <v>-</v>
      </c>
    </row>
    <row r="163" spans="1:6" ht="20" customHeight="1">
      <c r="A163" s="20"/>
      <c r="B163" s="21"/>
      <c r="C163" s="20" t="str">
        <f>IF(ISNUMBER(MATCH($A134, 대여현황!$A:$A, 0)), INDEX(대여현황!C:C, MATCH($A134, 대여현황!$A:$A, 0)), "")</f>
        <v/>
      </c>
      <c r="D163" s="20" t="str">
        <f>IF(ISNUMBER(MATCH($A134, 대여현황!$A:$A, 0)), INDEX(대여현황!D:D, MATCH($A134, 대여현황!$A:$A, 0)), "")</f>
        <v/>
      </c>
      <c r="E163" s="22" t="str">
        <f>IF(ISNUMBER(MATCH($A134, 대여현황!$A:$A, 0)), INDEX(대여현황!E:E, MATCH($A134, 대여현황!$A:$A, 0)), "")</f>
        <v/>
      </c>
      <c r="F163" s="20" t="str">
        <f>IF(ISNUMBER(MATCH($A163, 대여현황!$A:$A, 0)), INDEX(대여현황!F:F, MATCH($A163, 대여현황!$A:$A, 0)), "-")</f>
        <v>-</v>
      </c>
    </row>
    <row r="164" spans="1:6" ht="20" customHeight="1">
      <c r="A164" s="20"/>
      <c r="B164" s="21"/>
      <c r="C164" s="20" t="str">
        <f>IF(ISNUMBER(MATCH($A135, 대여현황!$A:$A, 0)), INDEX(대여현황!C:C, MATCH($A135, 대여현황!$A:$A, 0)), "")</f>
        <v/>
      </c>
      <c r="D164" s="20" t="str">
        <f>IF(ISNUMBER(MATCH($A135, 대여현황!$A:$A, 0)), INDEX(대여현황!D:D, MATCH($A135, 대여현황!$A:$A, 0)), "")</f>
        <v/>
      </c>
      <c r="E164" s="22" t="str">
        <f>IF(ISNUMBER(MATCH($A135, 대여현황!$A:$A, 0)), INDEX(대여현황!E:E, MATCH($A135, 대여현황!$A:$A, 0)), "")</f>
        <v/>
      </c>
      <c r="F164" s="20" t="str">
        <f>IF(ISNUMBER(MATCH($A164, 대여현황!$A:$A, 0)), INDEX(대여현황!F:F, MATCH($A164, 대여현황!$A:$A, 0)), "-")</f>
        <v>-</v>
      </c>
    </row>
    <row r="165" spans="1:6" ht="20" customHeight="1">
      <c r="A165" s="20"/>
      <c r="B165" s="21"/>
      <c r="C165" s="20" t="str">
        <f>IF(ISNUMBER(MATCH($A136, 대여현황!$A:$A, 0)), INDEX(대여현황!C:C, MATCH($A136, 대여현황!$A:$A, 0)), "")</f>
        <v/>
      </c>
      <c r="D165" s="20" t="str">
        <f>IF(ISNUMBER(MATCH($A136, 대여현황!$A:$A, 0)), INDEX(대여현황!D:D, MATCH($A136, 대여현황!$A:$A, 0)), "")</f>
        <v/>
      </c>
      <c r="E165" s="22" t="str">
        <f>IF(ISNUMBER(MATCH($A136, 대여현황!$A:$A, 0)), INDEX(대여현황!E:E, MATCH($A136, 대여현황!$A:$A, 0)), "")</f>
        <v/>
      </c>
      <c r="F165" s="20" t="str">
        <f>IF(ISNUMBER(MATCH($A165, 대여현황!$A:$A, 0)), INDEX(대여현황!F:F, MATCH($A165, 대여현황!$A:$A, 0)), "-")</f>
        <v>-</v>
      </c>
    </row>
    <row r="166" spans="1:6" ht="20" customHeight="1">
      <c r="A166" s="20"/>
      <c r="B166" s="21"/>
      <c r="C166" s="20" t="str">
        <f>IF(ISNUMBER(MATCH($A137, 대여현황!$A:$A, 0)), INDEX(대여현황!C:C, MATCH($A137, 대여현황!$A:$A, 0)), "")</f>
        <v/>
      </c>
      <c r="D166" s="20" t="str">
        <f>IF(ISNUMBER(MATCH($A137, 대여현황!$A:$A, 0)), INDEX(대여현황!D:D, MATCH($A137, 대여현황!$A:$A, 0)), "")</f>
        <v/>
      </c>
      <c r="E166" s="22" t="str">
        <f>IF(ISNUMBER(MATCH($A137, 대여현황!$A:$A, 0)), INDEX(대여현황!E:E, MATCH($A137, 대여현황!$A:$A, 0)), "")</f>
        <v/>
      </c>
      <c r="F166" s="20" t="str">
        <f>IF(ISNUMBER(MATCH($A166, 대여현황!$A:$A, 0)), INDEX(대여현황!F:F, MATCH($A166, 대여현황!$A:$A, 0)), "-")</f>
        <v>-</v>
      </c>
    </row>
    <row r="167" spans="1:6" ht="20" customHeight="1">
      <c r="A167" s="20"/>
      <c r="B167" s="21"/>
      <c r="C167" s="20" t="str">
        <f>IF(ISNUMBER(MATCH($A138, 대여현황!$A:$A, 0)), INDEX(대여현황!C:C, MATCH($A138, 대여현황!$A:$A, 0)), "")</f>
        <v/>
      </c>
      <c r="D167" s="20" t="str">
        <f>IF(ISNUMBER(MATCH($A138, 대여현황!$A:$A, 0)), INDEX(대여현황!D:D, MATCH($A138, 대여현황!$A:$A, 0)), "")</f>
        <v/>
      </c>
      <c r="E167" s="22" t="str">
        <f>IF(ISNUMBER(MATCH($A138, 대여현황!$A:$A, 0)), INDEX(대여현황!E:E, MATCH($A138, 대여현황!$A:$A, 0)), "")</f>
        <v/>
      </c>
      <c r="F167" s="20" t="str">
        <f>IF(ISNUMBER(MATCH($A167, 대여현황!$A:$A, 0)), INDEX(대여현황!F:F, MATCH($A167, 대여현황!$A:$A, 0)), "-")</f>
        <v>-</v>
      </c>
    </row>
    <row r="168" spans="1:6" ht="20" customHeight="1">
      <c r="A168" s="20"/>
      <c r="B168" s="21"/>
      <c r="C168" s="20" t="str">
        <f>IF(ISNUMBER(MATCH($A139, 대여현황!$A:$A, 0)), INDEX(대여현황!C:C, MATCH($A139, 대여현황!$A:$A, 0)), "")</f>
        <v/>
      </c>
      <c r="D168" s="20" t="str">
        <f>IF(ISNUMBER(MATCH($A139, 대여현황!$A:$A, 0)), INDEX(대여현황!D:D, MATCH($A139, 대여현황!$A:$A, 0)), "")</f>
        <v/>
      </c>
      <c r="E168" s="22" t="str">
        <f>IF(ISNUMBER(MATCH($A139, 대여현황!$A:$A, 0)), INDEX(대여현황!E:E, MATCH($A139, 대여현황!$A:$A, 0)), "")</f>
        <v/>
      </c>
      <c r="F168" s="20" t="str">
        <f>IF(ISNUMBER(MATCH($A168, 대여현황!$A:$A, 0)), INDEX(대여현황!F:F, MATCH($A168, 대여현황!$A:$A, 0)), "-")</f>
        <v>-</v>
      </c>
    </row>
    <row r="169" spans="1:6" ht="20" customHeight="1">
      <c r="A169" s="20"/>
      <c r="B169" s="21"/>
      <c r="C169" s="20" t="str">
        <f>IF(ISNUMBER(MATCH($A140, 대여현황!$A:$A, 0)), INDEX(대여현황!C:C, MATCH($A140, 대여현황!$A:$A, 0)), "")</f>
        <v/>
      </c>
      <c r="D169" s="20" t="str">
        <f>IF(ISNUMBER(MATCH($A140, 대여현황!$A:$A, 0)), INDEX(대여현황!D:D, MATCH($A140, 대여현황!$A:$A, 0)), "")</f>
        <v/>
      </c>
      <c r="E169" s="22" t="str">
        <f>IF(ISNUMBER(MATCH($A140, 대여현황!$A:$A, 0)), INDEX(대여현황!E:E, MATCH($A140, 대여현황!$A:$A, 0)), "")</f>
        <v/>
      </c>
      <c r="F169" s="20" t="str">
        <f>IF(ISNUMBER(MATCH($A169, 대여현황!$A:$A, 0)), INDEX(대여현황!F:F, MATCH($A169, 대여현황!$A:$A, 0)), "-")</f>
        <v>-</v>
      </c>
    </row>
    <row r="170" spans="1:6" ht="20" customHeight="1">
      <c r="A170" s="20"/>
      <c r="B170" s="21"/>
      <c r="C170" s="20" t="str">
        <f>IF(ISNUMBER(MATCH($A141, 대여현황!$A:$A, 0)), INDEX(대여현황!C:C, MATCH($A141, 대여현황!$A:$A, 0)), "")</f>
        <v/>
      </c>
      <c r="D170" s="20" t="str">
        <f>IF(ISNUMBER(MATCH($A141, 대여현황!$A:$A, 0)), INDEX(대여현황!D:D, MATCH($A141, 대여현황!$A:$A, 0)), "")</f>
        <v/>
      </c>
      <c r="E170" s="22" t="str">
        <f>IF(ISNUMBER(MATCH($A141, 대여현황!$A:$A, 0)), INDEX(대여현황!E:E, MATCH($A141, 대여현황!$A:$A, 0)), "")</f>
        <v/>
      </c>
      <c r="F170" s="20" t="str">
        <f>IF(ISNUMBER(MATCH($A170, 대여현황!$A:$A, 0)), INDEX(대여현황!F:F, MATCH($A170, 대여현황!$A:$A, 0)), "-")</f>
        <v>-</v>
      </c>
    </row>
    <row r="171" spans="1:6" ht="20" customHeight="1">
      <c r="A171" s="20"/>
      <c r="B171" s="21"/>
      <c r="C171" s="20" t="str">
        <f>IF(ISNUMBER(MATCH($A142, 대여현황!$A:$A, 0)), INDEX(대여현황!C:C, MATCH($A142, 대여현황!$A:$A, 0)), "")</f>
        <v/>
      </c>
      <c r="D171" s="20" t="str">
        <f>IF(ISNUMBER(MATCH($A142, 대여현황!$A:$A, 0)), INDEX(대여현황!D:D, MATCH($A142, 대여현황!$A:$A, 0)), "")</f>
        <v/>
      </c>
      <c r="E171" s="22" t="str">
        <f>IF(ISNUMBER(MATCH($A142, 대여현황!$A:$A, 0)), INDEX(대여현황!E:E, MATCH($A142, 대여현황!$A:$A, 0)), "")</f>
        <v/>
      </c>
      <c r="F171" s="20" t="str">
        <f>IF(ISNUMBER(MATCH($A171, 대여현황!$A:$A, 0)), INDEX(대여현황!F:F, MATCH($A171, 대여현황!$A:$A, 0)), "-")</f>
        <v>-</v>
      </c>
    </row>
    <row r="172" spans="1:6" ht="20" customHeight="1">
      <c r="A172" s="20"/>
      <c r="B172" s="21"/>
      <c r="C172" s="20" t="str">
        <f>IF(ISNUMBER(MATCH($A143, 대여현황!$A:$A, 0)), INDEX(대여현황!C:C, MATCH($A143, 대여현황!$A:$A, 0)), "")</f>
        <v/>
      </c>
      <c r="D172" s="20" t="str">
        <f>IF(ISNUMBER(MATCH($A143, 대여현황!$A:$A, 0)), INDEX(대여현황!D:D, MATCH($A143, 대여현황!$A:$A, 0)), "")</f>
        <v/>
      </c>
      <c r="E172" s="22" t="str">
        <f>IF(ISNUMBER(MATCH($A143, 대여현황!$A:$A, 0)), INDEX(대여현황!E:E, MATCH($A143, 대여현황!$A:$A, 0)), "")</f>
        <v/>
      </c>
      <c r="F172" s="20" t="str">
        <f>IF(ISNUMBER(MATCH($A172, 대여현황!$A:$A, 0)), INDEX(대여현황!F:F, MATCH($A172, 대여현황!$A:$A, 0)), "-")</f>
        <v>-</v>
      </c>
    </row>
    <row r="173" spans="1:6" ht="20" customHeight="1">
      <c r="A173" s="20"/>
      <c r="B173" s="21"/>
      <c r="C173" s="20" t="str">
        <f>IF(ISNUMBER(MATCH($A144, 대여현황!$A:$A, 0)), INDEX(대여현황!C:C, MATCH($A144, 대여현황!$A:$A, 0)), "")</f>
        <v/>
      </c>
      <c r="D173" s="20" t="str">
        <f>IF(ISNUMBER(MATCH($A144, 대여현황!$A:$A, 0)), INDEX(대여현황!D:D, MATCH($A144, 대여현황!$A:$A, 0)), "")</f>
        <v/>
      </c>
      <c r="E173" s="22" t="str">
        <f>IF(ISNUMBER(MATCH($A144, 대여현황!$A:$A, 0)), INDEX(대여현황!E:E, MATCH($A144, 대여현황!$A:$A, 0)), "")</f>
        <v/>
      </c>
      <c r="F173" s="20" t="str">
        <f>IF(ISNUMBER(MATCH($A173, 대여현황!$A:$A, 0)), INDEX(대여현황!F:F, MATCH($A173, 대여현황!$A:$A, 0)), "-")</f>
        <v>-</v>
      </c>
    </row>
    <row r="174" spans="1:6" ht="20" customHeight="1">
      <c r="A174" s="20"/>
      <c r="B174" s="21"/>
      <c r="C174" s="20" t="str">
        <f>IF(ISNUMBER(MATCH($A145, 대여현황!$A:$A, 0)), INDEX(대여현황!C:C, MATCH($A145, 대여현황!$A:$A, 0)), "")</f>
        <v/>
      </c>
      <c r="D174" s="20" t="str">
        <f>IF(ISNUMBER(MATCH($A145, 대여현황!$A:$A, 0)), INDEX(대여현황!D:D, MATCH($A145, 대여현황!$A:$A, 0)), "")</f>
        <v/>
      </c>
      <c r="E174" s="22" t="str">
        <f>IF(ISNUMBER(MATCH($A145, 대여현황!$A:$A, 0)), INDEX(대여현황!E:E, MATCH($A145, 대여현황!$A:$A, 0)), "")</f>
        <v/>
      </c>
      <c r="F174" s="20" t="str">
        <f>IF(ISNUMBER(MATCH($A174, 대여현황!$A:$A, 0)), INDEX(대여현황!F:F, MATCH($A174, 대여현황!$A:$A, 0)), "-")</f>
        <v>-</v>
      </c>
    </row>
    <row r="175" spans="1:6" ht="20" customHeight="1">
      <c r="A175" s="20"/>
      <c r="B175" s="21"/>
      <c r="C175" s="20" t="str">
        <f>IF(ISNUMBER(MATCH($A146, 대여현황!$A:$A, 0)), INDEX(대여현황!C:C, MATCH($A146, 대여현황!$A:$A, 0)), "")</f>
        <v/>
      </c>
      <c r="D175" s="20" t="str">
        <f>IF(ISNUMBER(MATCH($A146, 대여현황!$A:$A, 0)), INDEX(대여현황!D:D, MATCH($A146, 대여현황!$A:$A, 0)), "")</f>
        <v/>
      </c>
      <c r="E175" s="22" t="str">
        <f>IF(ISNUMBER(MATCH($A146, 대여현황!$A:$A, 0)), INDEX(대여현황!E:E, MATCH($A146, 대여현황!$A:$A, 0)), "")</f>
        <v/>
      </c>
      <c r="F175" s="20" t="str">
        <f>IF(ISNUMBER(MATCH($A175, 대여현황!$A:$A, 0)), INDEX(대여현황!F:F, MATCH($A175, 대여현황!$A:$A, 0)), "-")</f>
        <v>-</v>
      </c>
    </row>
    <row r="176" spans="1:6" ht="20" customHeight="1">
      <c r="A176" s="20"/>
      <c r="B176" s="21"/>
      <c r="C176" s="20" t="str">
        <f>IF(ISNUMBER(MATCH($A147, 대여현황!$A:$A, 0)), INDEX(대여현황!C:C, MATCH($A147, 대여현황!$A:$A, 0)), "")</f>
        <v/>
      </c>
      <c r="D176" s="20" t="str">
        <f>IF(ISNUMBER(MATCH($A147, 대여현황!$A:$A, 0)), INDEX(대여현황!D:D, MATCH($A147, 대여현황!$A:$A, 0)), "")</f>
        <v/>
      </c>
      <c r="E176" s="22" t="str">
        <f>IF(ISNUMBER(MATCH($A147, 대여현황!$A:$A, 0)), INDEX(대여현황!E:E, MATCH($A147, 대여현황!$A:$A, 0)), "")</f>
        <v/>
      </c>
      <c r="F176" s="20" t="str">
        <f>IF(ISNUMBER(MATCH($A176, 대여현황!$A:$A, 0)), INDEX(대여현황!F:F, MATCH($A176, 대여현황!$A:$A, 0)), "-")</f>
        <v>-</v>
      </c>
    </row>
    <row r="177" spans="1:6" ht="20" customHeight="1">
      <c r="A177" s="20"/>
      <c r="B177" s="21"/>
      <c r="C177" s="20" t="str">
        <f>IF(ISNUMBER(MATCH($A148, 대여현황!$A:$A, 0)), INDEX(대여현황!C:C, MATCH($A148, 대여현황!$A:$A, 0)), "")</f>
        <v/>
      </c>
      <c r="D177" s="20" t="str">
        <f>IF(ISNUMBER(MATCH($A148, 대여현황!$A:$A, 0)), INDEX(대여현황!D:D, MATCH($A148, 대여현황!$A:$A, 0)), "")</f>
        <v/>
      </c>
      <c r="E177" s="22" t="str">
        <f>IF(ISNUMBER(MATCH($A148, 대여현황!$A:$A, 0)), INDEX(대여현황!E:E, MATCH($A148, 대여현황!$A:$A, 0)), "")</f>
        <v/>
      </c>
      <c r="F177" s="20" t="str">
        <f>IF(ISNUMBER(MATCH($A177, 대여현황!$A:$A, 0)), INDEX(대여현황!F:F, MATCH($A177, 대여현황!$A:$A, 0)), "-")</f>
        <v>-</v>
      </c>
    </row>
    <row r="178" spans="1:6" ht="20" customHeight="1">
      <c r="A178" s="20"/>
      <c r="B178" s="21"/>
      <c r="C178" s="20" t="str">
        <f>IF(ISNUMBER(MATCH($A149, 대여현황!$A:$A, 0)), INDEX(대여현황!C:C, MATCH($A149, 대여현황!$A:$A, 0)), "")</f>
        <v/>
      </c>
      <c r="D178" s="20" t="str">
        <f>IF(ISNUMBER(MATCH($A149, 대여현황!$A:$A, 0)), INDEX(대여현황!D:D, MATCH($A149, 대여현황!$A:$A, 0)), "")</f>
        <v/>
      </c>
      <c r="E178" s="22" t="str">
        <f>IF(ISNUMBER(MATCH($A149, 대여현황!$A:$A, 0)), INDEX(대여현황!E:E, MATCH($A149, 대여현황!$A:$A, 0)), "")</f>
        <v/>
      </c>
      <c r="F178" s="20" t="str">
        <f>IF(ISNUMBER(MATCH($A178, 대여현황!$A:$A, 0)), INDEX(대여현황!F:F, MATCH($A178, 대여현황!$A:$A, 0)), "-")</f>
        <v>-</v>
      </c>
    </row>
    <row r="179" spans="1:6" ht="20" customHeight="1">
      <c r="A179" s="20"/>
      <c r="B179" s="21"/>
      <c r="C179" s="20" t="str">
        <f>IF(ISNUMBER(MATCH($A150, 대여현황!$A:$A, 0)), INDEX(대여현황!C:C, MATCH($A150, 대여현황!$A:$A, 0)), "")</f>
        <v/>
      </c>
      <c r="D179" s="20" t="str">
        <f>IF(ISNUMBER(MATCH($A150, 대여현황!$A:$A, 0)), INDEX(대여현황!D:D, MATCH($A150, 대여현황!$A:$A, 0)), "")</f>
        <v/>
      </c>
      <c r="E179" s="22" t="str">
        <f>IF(ISNUMBER(MATCH($A150, 대여현황!$A:$A, 0)), INDEX(대여현황!E:E, MATCH($A150, 대여현황!$A:$A, 0)), "")</f>
        <v/>
      </c>
      <c r="F179" s="20" t="str">
        <f>IF(ISNUMBER(MATCH($A179, 대여현황!$A:$A, 0)), INDEX(대여현황!F:F, MATCH($A179, 대여현황!$A:$A, 0)), "-")</f>
        <v>-</v>
      </c>
    </row>
    <row r="180" spans="1:6" ht="20" customHeight="1">
      <c r="A180" s="20"/>
      <c r="B180" s="21"/>
      <c r="C180" s="20" t="str">
        <f>IF(ISNUMBER(MATCH($A151, 대여현황!$A:$A, 0)), INDEX(대여현황!C:C, MATCH($A151, 대여현황!$A:$A, 0)), "")</f>
        <v/>
      </c>
      <c r="D180" s="20" t="str">
        <f>IF(ISNUMBER(MATCH($A151, 대여현황!$A:$A, 0)), INDEX(대여현황!D:D, MATCH($A151, 대여현황!$A:$A, 0)), "")</f>
        <v/>
      </c>
      <c r="E180" s="22" t="str">
        <f>IF(ISNUMBER(MATCH($A151, 대여현황!$A:$A, 0)), INDEX(대여현황!E:E, MATCH($A151, 대여현황!$A:$A, 0)), "")</f>
        <v/>
      </c>
      <c r="F180" s="20" t="str">
        <f>IF(ISNUMBER(MATCH($A180, 대여현황!$A:$A, 0)), INDEX(대여현황!F:F, MATCH($A180, 대여현황!$A:$A, 0)), "-")</f>
        <v>-</v>
      </c>
    </row>
    <row r="181" spans="1:6" ht="20" customHeight="1">
      <c r="A181" s="20"/>
      <c r="B181" s="21"/>
      <c r="C181" s="20" t="str">
        <f>IF(ISNUMBER(MATCH($A152, 대여현황!$A:$A, 0)), INDEX(대여현황!C:C, MATCH($A152, 대여현황!$A:$A, 0)), "")</f>
        <v/>
      </c>
      <c r="D181" s="20" t="str">
        <f>IF(ISNUMBER(MATCH($A152, 대여현황!$A:$A, 0)), INDEX(대여현황!D:D, MATCH($A152, 대여현황!$A:$A, 0)), "")</f>
        <v/>
      </c>
      <c r="E181" s="22" t="str">
        <f>IF(ISNUMBER(MATCH($A152, 대여현황!$A:$A, 0)), INDEX(대여현황!E:E, MATCH($A152, 대여현황!$A:$A, 0)), "")</f>
        <v/>
      </c>
      <c r="F181" s="20" t="str">
        <f>IF(ISNUMBER(MATCH($A181, 대여현황!$A:$A, 0)), INDEX(대여현황!F:F, MATCH($A181, 대여현황!$A:$A, 0)), "-")</f>
        <v>-</v>
      </c>
    </row>
    <row r="182" spans="1:6" ht="20" customHeight="1">
      <c r="A182" s="20"/>
      <c r="B182" s="21"/>
      <c r="C182" s="20" t="str">
        <f>IF(ISNUMBER(MATCH($A153, 대여현황!$A:$A, 0)), INDEX(대여현황!C:C, MATCH($A153, 대여현황!$A:$A, 0)), "")</f>
        <v/>
      </c>
      <c r="D182" s="20" t="str">
        <f>IF(ISNUMBER(MATCH($A153, 대여현황!$A:$A, 0)), INDEX(대여현황!D:D, MATCH($A153, 대여현황!$A:$A, 0)), "")</f>
        <v/>
      </c>
      <c r="E182" s="22" t="str">
        <f>IF(ISNUMBER(MATCH($A153, 대여현황!$A:$A, 0)), INDEX(대여현황!E:E, MATCH($A153, 대여현황!$A:$A, 0)), "")</f>
        <v/>
      </c>
      <c r="F182" s="20" t="str">
        <f>IF(ISNUMBER(MATCH($A182, 대여현황!$A:$A, 0)), INDEX(대여현황!F:F, MATCH($A182, 대여현황!$A:$A, 0)), "-")</f>
        <v>-</v>
      </c>
    </row>
    <row r="183" spans="1:6" ht="20" customHeight="1">
      <c r="A183" s="20"/>
      <c r="B183" s="21"/>
      <c r="C183" s="20" t="str">
        <f>IF(ISNUMBER(MATCH($A154, 대여현황!$A:$A, 0)), INDEX(대여현황!C:C, MATCH($A154, 대여현황!$A:$A, 0)), "")</f>
        <v/>
      </c>
      <c r="D183" s="20" t="str">
        <f>IF(ISNUMBER(MATCH($A154, 대여현황!$A:$A, 0)), INDEX(대여현황!D:D, MATCH($A154, 대여현황!$A:$A, 0)), "")</f>
        <v/>
      </c>
      <c r="E183" s="22" t="str">
        <f>IF(ISNUMBER(MATCH($A154, 대여현황!$A:$A, 0)), INDEX(대여현황!E:E, MATCH($A154, 대여현황!$A:$A, 0)), "")</f>
        <v/>
      </c>
      <c r="F183" s="20" t="str">
        <f>IF(ISNUMBER(MATCH($A183, 대여현황!$A:$A, 0)), INDEX(대여현황!F:F, MATCH($A183, 대여현황!$A:$A, 0)), "-")</f>
        <v>-</v>
      </c>
    </row>
    <row r="184" spans="1:6" ht="20" customHeight="1">
      <c r="A184" s="20"/>
      <c r="B184" s="21"/>
      <c r="C184" s="20" t="str">
        <f>IF(ISNUMBER(MATCH($A155, 대여현황!$A:$A, 0)), INDEX(대여현황!C:C, MATCH($A155, 대여현황!$A:$A, 0)), "")</f>
        <v/>
      </c>
      <c r="D184" s="20" t="str">
        <f>IF(ISNUMBER(MATCH($A155, 대여현황!$A:$A, 0)), INDEX(대여현황!D:D, MATCH($A155, 대여현황!$A:$A, 0)), "")</f>
        <v/>
      </c>
      <c r="E184" s="22" t="str">
        <f>IF(ISNUMBER(MATCH($A155, 대여현황!$A:$A, 0)), INDEX(대여현황!E:E, MATCH($A155, 대여현황!$A:$A, 0)), "")</f>
        <v/>
      </c>
      <c r="F184" s="20" t="str">
        <f>IF(ISNUMBER(MATCH($A184, 대여현황!$A:$A, 0)), INDEX(대여현황!F:F, MATCH($A184, 대여현황!$A:$A, 0)), "-")</f>
        <v>-</v>
      </c>
    </row>
    <row r="185" spans="1:6" ht="20" customHeight="1">
      <c r="A185" s="20"/>
      <c r="B185" s="21"/>
      <c r="C185" s="20" t="str">
        <f>IF(ISNUMBER(MATCH($A156, 대여현황!$A:$A, 0)), INDEX(대여현황!C:C, MATCH($A156, 대여현황!$A:$A, 0)), "")</f>
        <v/>
      </c>
      <c r="D185" s="20" t="str">
        <f>IF(ISNUMBER(MATCH($A156, 대여현황!$A:$A, 0)), INDEX(대여현황!D:D, MATCH($A156, 대여현황!$A:$A, 0)), "")</f>
        <v/>
      </c>
      <c r="E185" s="22" t="str">
        <f>IF(ISNUMBER(MATCH($A156, 대여현황!$A:$A, 0)), INDEX(대여현황!E:E, MATCH($A156, 대여현황!$A:$A, 0)), "")</f>
        <v/>
      </c>
      <c r="F185" s="20" t="str">
        <f>IF(ISNUMBER(MATCH($A185, 대여현황!$A:$A, 0)), INDEX(대여현황!F:F, MATCH($A185, 대여현황!$A:$A, 0)), "-")</f>
        <v>-</v>
      </c>
    </row>
    <row r="186" spans="1:6" ht="20" customHeight="1">
      <c r="A186" s="20"/>
      <c r="B186" s="21"/>
      <c r="C186" s="20" t="str">
        <f>IF(ISNUMBER(MATCH($A157, 대여현황!$A:$A, 0)), INDEX(대여현황!C:C, MATCH($A157, 대여현황!$A:$A, 0)), "")</f>
        <v/>
      </c>
      <c r="D186" s="20" t="str">
        <f>IF(ISNUMBER(MATCH($A157, 대여현황!$A:$A, 0)), INDEX(대여현황!D:D, MATCH($A157, 대여현황!$A:$A, 0)), "")</f>
        <v/>
      </c>
      <c r="E186" s="22" t="str">
        <f>IF(ISNUMBER(MATCH($A157, 대여현황!$A:$A, 0)), INDEX(대여현황!E:E, MATCH($A157, 대여현황!$A:$A, 0)), "")</f>
        <v/>
      </c>
      <c r="F186" s="20" t="str">
        <f>IF(ISNUMBER(MATCH($A186, 대여현황!$A:$A, 0)), INDEX(대여현황!F:F, MATCH($A186, 대여현황!$A:$A, 0)), "-")</f>
        <v>-</v>
      </c>
    </row>
    <row r="187" spans="1:6" ht="20" customHeight="1">
      <c r="A187" s="20"/>
      <c r="B187" s="21"/>
      <c r="C187" s="20" t="str">
        <f>IF(ISNUMBER(MATCH($A158, 대여현황!$A:$A, 0)), INDEX(대여현황!C:C, MATCH($A158, 대여현황!$A:$A, 0)), "")</f>
        <v/>
      </c>
      <c r="D187" s="20" t="str">
        <f>IF(ISNUMBER(MATCH($A158, 대여현황!$A:$A, 0)), INDEX(대여현황!D:D, MATCH($A158, 대여현황!$A:$A, 0)), "")</f>
        <v/>
      </c>
      <c r="E187" s="22" t="str">
        <f>IF(ISNUMBER(MATCH($A158, 대여현황!$A:$A, 0)), INDEX(대여현황!E:E, MATCH($A158, 대여현황!$A:$A, 0)), "")</f>
        <v/>
      </c>
      <c r="F187" s="20" t="str">
        <f>IF(ISNUMBER(MATCH($A187, 대여현황!$A:$A, 0)), INDEX(대여현황!F:F, MATCH($A187, 대여현황!$A:$A, 0)), "-")</f>
        <v>-</v>
      </c>
    </row>
    <row r="188" spans="1:6" ht="20" customHeight="1">
      <c r="A188" s="20"/>
      <c r="B188" s="21"/>
      <c r="C188" s="20" t="str">
        <f>IF(ISNUMBER(MATCH($A159, 대여현황!$A:$A, 0)), INDEX(대여현황!C:C, MATCH($A159, 대여현황!$A:$A, 0)), "")</f>
        <v/>
      </c>
      <c r="D188" s="20" t="str">
        <f>IF(ISNUMBER(MATCH($A159, 대여현황!$A:$A, 0)), INDEX(대여현황!D:D, MATCH($A159, 대여현황!$A:$A, 0)), "")</f>
        <v/>
      </c>
      <c r="E188" s="22" t="str">
        <f>IF(ISNUMBER(MATCH($A159, 대여현황!$A:$A, 0)), INDEX(대여현황!E:E, MATCH($A159, 대여현황!$A:$A, 0)), "")</f>
        <v/>
      </c>
      <c r="F188" s="20" t="str">
        <f>IF(ISNUMBER(MATCH($A188, 대여현황!$A:$A, 0)), INDEX(대여현황!F:F, MATCH($A188, 대여현황!$A:$A, 0)), "-")</f>
        <v>-</v>
      </c>
    </row>
    <row r="189" spans="1:6" ht="20" customHeight="1">
      <c r="A189" s="20"/>
      <c r="B189" s="21"/>
      <c r="C189" s="20" t="str">
        <f>IF(ISNUMBER(MATCH($A160, 대여현황!$A:$A, 0)), INDEX(대여현황!C:C, MATCH($A160, 대여현황!$A:$A, 0)), "")</f>
        <v/>
      </c>
      <c r="D189" s="20" t="str">
        <f>IF(ISNUMBER(MATCH($A160, 대여현황!$A:$A, 0)), INDEX(대여현황!D:D, MATCH($A160, 대여현황!$A:$A, 0)), "")</f>
        <v/>
      </c>
      <c r="E189" s="22" t="str">
        <f>IF(ISNUMBER(MATCH($A160, 대여현황!$A:$A, 0)), INDEX(대여현황!E:E, MATCH($A160, 대여현황!$A:$A, 0)), "")</f>
        <v/>
      </c>
      <c r="F189" s="20" t="str">
        <f>IF(ISNUMBER(MATCH($A189, 대여현황!$A:$A, 0)), INDEX(대여현황!F:F, MATCH($A189, 대여현황!$A:$A, 0)), "-")</f>
        <v>-</v>
      </c>
    </row>
    <row r="190" spans="1:6" ht="20" customHeight="1">
      <c r="A190" s="20"/>
      <c r="B190" s="21"/>
      <c r="C190" s="20" t="str">
        <f>IF(ISNUMBER(MATCH($A161, 대여현황!$A:$A, 0)), INDEX(대여현황!C:C, MATCH($A161, 대여현황!$A:$A, 0)), "")</f>
        <v/>
      </c>
      <c r="D190" s="20" t="str">
        <f>IF(ISNUMBER(MATCH($A161, 대여현황!$A:$A, 0)), INDEX(대여현황!D:D, MATCH($A161, 대여현황!$A:$A, 0)), "")</f>
        <v/>
      </c>
      <c r="E190" s="22" t="str">
        <f>IF(ISNUMBER(MATCH($A161, 대여현황!$A:$A, 0)), INDEX(대여현황!E:E, MATCH($A161, 대여현황!$A:$A, 0)), "")</f>
        <v/>
      </c>
      <c r="F190" s="20" t="str">
        <f>IF(ISNUMBER(MATCH($A190, 대여현황!$A:$A, 0)), INDEX(대여현황!F:F, MATCH($A190, 대여현황!$A:$A, 0)), "-")</f>
        <v>-</v>
      </c>
    </row>
    <row r="191" spans="1:6" ht="20" customHeight="1">
      <c r="A191" s="20"/>
      <c r="B191" s="21"/>
      <c r="C191" s="20" t="str">
        <f>IF(ISNUMBER(MATCH($A162, 대여현황!$A:$A, 0)), INDEX(대여현황!C:C, MATCH($A162, 대여현황!$A:$A, 0)), "")</f>
        <v/>
      </c>
      <c r="D191" s="20" t="str">
        <f>IF(ISNUMBER(MATCH($A162, 대여현황!$A:$A, 0)), INDEX(대여현황!D:D, MATCH($A162, 대여현황!$A:$A, 0)), "")</f>
        <v/>
      </c>
      <c r="E191" s="22" t="str">
        <f>IF(ISNUMBER(MATCH($A162, 대여현황!$A:$A, 0)), INDEX(대여현황!E:E, MATCH($A162, 대여현황!$A:$A, 0)), "")</f>
        <v/>
      </c>
      <c r="F191" s="20" t="str">
        <f>IF(ISNUMBER(MATCH($A191, 대여현황!$A:$A, 0)), INDEX(대여현황!F:F, MATCH($A191, 대여현황!$A:$A, 0)), "-")</f>
        <v>-</v>
      </c>
    </row>
    <row r="192" spans="1:6" ht="20" customHeight="1">
      <c r="A192" s="9"/>
      <c r="B192" s="3"/>
      <c r="C192" s="9" t="str">
        <f>IF(ISNUMBER(MATCH($A163, 대여현황!$A:$A, 0)), INDEX(대여현황!C:C, MATCH($A163, 대여현황!$A:$A, 0)), "")</f>
        <v/>
      </c>
      <c r="D192" s="9" t="str">
        <f>IF(ISNUMBER(MATCH($A163, 대여현황!$A:$A, 0)), INDEX(대여현황!D:D, MATCH($A163, 대여현황!$A:$A, 0)), "")</f>
        <v/>
      </c>
      <c r="E192" s="10" t="str">
        <f>IF(ISNUMBER(MATCH($A163, 대여현황!$A:$A, 0)), INDEX(대여현황!E:E, MATCH($A163, 대여현황!$A:$A, 0)), "")</f>
        <v/>
      </c>
      <c r="F192" s="20" t="str">
        <f>IF(ISNUMBER(MATCH($A192, 대여현황!$A:$A, 0)), INDEX(대여현황!F:F, MATCH($A192, 대여현황!$A:$A, 0)), "-")</f>
        <v>-</v>
      </c>
    </row>
    <row r="193" spans="1:6" ht="20" customHeight="1">
      <c r="A193" s="9"/>
      <c r="B193" s="3"/>
      <c r="C193" s="9" t="str">
        <f>IF(ISNUMBER(MATCH($A164, 대여현황!$A:$A, 0)), INDEX(대여현황!C:C, MATCH($A164, 대여현황!$A:$A, 0)), "")</f>
        <v/>
      </c>
      <c r="D193" s="9" t="str">
        <f>IF(ISNUMBER(MATCH($A164, 대여현황!$A:$A, 0)), INDEX(대여현황!D:D, MATCH($A164, 대여현황!$A:$A, 0)), "")</f>
        <v/>
      </c>
      <c r="E193" s="10" t="str">
        <f>IF(ISNUMBER(MATCH($A164, 대여현황!$A:$A, 0)), INDEX(대여현황!E:E, MATCH($A164, 대여현황!$A:$A, 0)), "")</f>
        <v/>
      </c>
      <c r="F193" s="20" t="str">
        <f>IF(ISNUMBER(MATCH($A193, 대여현황!$A:$A, 0)), INDEX(대여현황!F:F, MATCH($A193, 대여현황!$A:$A, 0)), "-")</f>
        <v>-</v>
      </c>
    </row>
    <row r="194" spans="1:6" ht="20" customHeight="1">
      <c r="A194" s="9"/>
      <c r="B194" s="3"/>
      <c r="C194" s="9" t="str">
        <f>IF(ISNUMBER(MATCH($A165, 대여현황!$A:$A, 0)), INDEX(대여현황!C:C, MATCH($A165, 대여현황!$A:$A, 0)), "")</f>
        <v/>
      </c>
      <c r="D194" s="9" t="str">
        <f>IF(ISNUMBER(MATCH($A165, 대여현황!$A:$A, 0)), INDEX(대여현황!D:D, MATCH($A165, 대여현황!$A:$A, 0)), "")</f>
        <v/>
      </c>
      <c r="E194" s="10" t="str">
        <f>IF(ISNUMBER(MATCH($A165, 대여현황!$A:$A, 0)), INDEX(대여현황!E:E, MATCH($A165, 대여현황!$A:$A, 0)), "")</f>
        <v/>
      </c>
      <c r="F194" s="20" t="str">
        <f>IF(ISNUMBER(MATCH($A194, 대여현황!$A:$A, 0)), INDEX(대여현황!F:F, MATCH($A194, 대여현황!$A:$A, 0)), "-")</f>
        <v>-</v>
      </c>
    </row>
    <row r="195" spans="1:6" ht="20" customHeight="1">
      <c r="A195" s="9"/>
      <c r="B195" s="3"/>
      <c r="C195" s="9" t="str">
        <f>IF(ISNUMBER(MATCH($A166, 대여현황!$A:$A, 0)), INDEX(대여현황!C:C, MATCH($A166, 대여현황!$A:$A, 0)), "")</f>
        <v/>
      </c>
      <c r="D195" s="9" t="str">
        <f>IF(ISNUMBER(MATCH($A166, 대여현황!$A:$A, 0)), INDEX(대여현황!D:D, MATCH($A166, 대여현황!$A:$A, 0)), "")</f>
        <v/>
      </c>
      <c r="E195" s="10" t="str">
        <f>IF(ISNUMBER(MATCH($A166, 대여현황!$A:$A, 0)), INDEX(대여현황!E:E, MATCH($A166, 대여현황!$A:$A, 0)), "")</f>
        <v/>
      </c>
      <c r="F195" s="20" t="str">
        <f>IF(ISNUMBER(MATCH($A195, 대여현황!$A:$A, 0)), INDEX(대여현황!F:F, MATCH($A195, 대여현황!$A:$A, 0)), "-")</f>
        <v>-</v>
      </c>
    </row>
    <row r="196" spans="1:6" ht="20" customHeight="1">
      <c r="A196" s="9"/>
      <c r="B196" s="3"/>
      <c r="C196" s="9" t="str">
        <f>IF(ISNUMBER(MATCH($A167, 대여현황!$A:$A, 0)), INDEX(대여현황!C:C, MATCH($A167, 대여현황!$A:$A, 0)), "")</f>
        <v/>
      </c>
      <c r="D196" s="9" t="str">
        <f>IF(ISNUMBER(MATCH($A167, 대여현황!$A:$A, 0)), INDEX(대여현황!D:D, MATCH($A167, 대여현황!$A:$A, 0)), "")</f>
        <v/>
      </c>
      <c r="E196" s="10" t="str">
        <f>IF(ISNUMBER(MATCH($A167, 대여현황!$A:$A, 0)), INDEX(대여현황!E:E, MATCH($A167, 대여현황!$A:$A, 0)), "")</f>
        <v/>
      </c>
      <c r="F196" s="20" t="str">
        <f>IF(ISNUMBER(MATCH($A196, 대여현황!$A:$A, 0)), INDEX(대여현황!F:F, MATCH($A196, 대여현황!$A:$A, 0)), "-")</f>
        <v>-</v>
      </c>
    </row>
    <row r="197" spans="1:6" ht="20" customHeight="1">
      <c r="A197" s="9"/>
      <c r="B197" s="3"/>
      <c r="C197" s="9" t="str">
        <f>IF(ISNUMBER(MATCH($A168, 대여현황!$A:$A, 0)), INDEX(대여현황!C:C, MATCH($A168, 대여현황!$A:$A, 0)), "")</f>
        <v/>
      </c>
      <c r="D197" s="9" t="str">
        <f>IF(ISNUMBER(MATCH($A168, 대여현황!$A:$A, 0)), INDEX(대여현황!D:D, MATCH($A168, 대여현황!$A:$A, 0)), "")</f>
        <v/>
      </c>
      <c r="E197" s="10" t="str">
        <f>IF(ISNUMBER(MATCH($A168, 대여현황!$A:$A, 0)), INDEX(대여현황!E:E, MATCH($A168, 대여현황!$A:$A, 0)), "")</f>
        <v/>
      </c>
      <c r="F197" s="20" t="str">
        <f>IF(ISNUMBER(MATCH($A197, 대여현황!$A:$A, 0)), INDEX(대여현황!F:F, MATCH($A197, 대여현황!$A:$A, 0)), "-")</f>
        <v>-</v>
      </c>
    </row>
    <row r="198" spans="1:6" ht="20" customHeight="1">
      <c r="A198" s="9"/>
      <c r="B198" s="3"/>
      <c r="C198" s="9" t="str">
        <f>IF(ISNUMBER(MATCH($A169, 대여현황!$A:$A, 0)), INDEX(대여현황!C:C, MATCH($A169, 대여현황!$A:$A, 0)), "")</f>
        <v/>
      </c>
      <c r="D198" s="9" t="str">
        <f>IF(ISNUMBER(MATCH($A169, 대여현황!$A:$A, 0)), INDEX(대여현황!D:D, MATCH($A169, 대여현황!$A:$A, 0)), "")</f>
        <v/>
      </c>
      <c r="E198" s="10" t="str">
        <f>IF(ISNUMBER(MATCH($A169, 대여현황!$A:$A, 0)), INDEX(대여현황!E:E, MATCH($A169, 대여현황!$A:$A, 0)), "")</f>
        <v/>
      </c>
      <c r="F198" s="20" t="str">
        <f>IF(ISNUMBER(MATCH($A198, 대여현황!$A:$A, 0)), INDEX(대여현황!F:F, MATCH($A198, 대여현황!$A:$A, 0)), "-")</f>
        <v>-</v>
      </c>
    </row>
    <row r="199" spans="1:6" ht="20" customHeight="1">
      <c r="A199" s="9"/>
      <c r="B199" s="3"/>
      <c r="C199" s="9" t="str">
        <f>IF(ISNUMBER(MATCH($A170, 대여현황!$A:$A, 0)), INDEX(대여현황!C:C, MATCH($A170, 대여현황!$A:$A, 0)), "")</f>
        <v/>
      </c>
      <c r="D199" s="9" t="str">
        <f>IF(ISNUMBER(MATCH($A170, 대여현황!$A:$A, 0)), INDEX(대여현황!D:D, MATCH($A170, 대여현황!$A:$A, 0)), "")</f>
        <v/>
      </c>
      <c r="E199" s="10" t="str">
        <f>IF(ISNUMBER(MATCH($A170, 대여현황!$A:$A, 0)), INDEX(대여현황!E:E, MATCH($A170, 대여현황!$A:$A, 0)), "")</f>
        <v/>
      </c>
      <c r="F199" s="20" t="str">
        <f>IF(ISNUMBER(MATCH($A199, 대여현황!$A:$A, 0)), INDEX(대여현황!F:F, MATCH($A199, 대여현황!$A:$A, 0)), "-")</f>
        <v>-</v>
      </c>
    </row>
    <row r="200" spans="1:6" ht="20" customHeight="1">
      <c r="A200" s="9"/>
      <c r="B200" s="3"/>
      <c r="C200" s="9" t="str">
        <f>IF(ISNUMBER(MATCH($A171, 대여현황!$A:$A, 0)), INDEX(대여현황!C:C, MATCH($A171, 대여현황!$A:$A, 0)), "")</f>
        <v/>
      </c>
      <c r="D200" s="9" t="str">
        <f>IF(ISNUMBER(MATCH($A171, 대여현황!$A:$A, 0)), INDEX(대여현황!D:D, MATCH($A171, 대여현황!$A:$A, 0)), "")</f>
        <v/>
      </c>
      <c r="E200" s="10" t="str">
        <f>IF(ISNUMBER(MATCH($A171, 대여현황!$A:$A, 0)), INDEX(대여현황!E:E, MATCH($A171, 대여현황!$A:$A, 0)), "")</f>
        <v/>
      </c>
      <c r="F200" s="20" t="str">
        <f>IF(ISNUMBER(MATCH($A200, 대여현황!$A:$A, 0)), INDEX(대여현황!F:F, MATCH($A200, 대여현황!$A:$A, 0)), "-")</f>
        <v>-</v>
      </c>
    </row>
  </sheetData>
  <autoFilter ref="A2:F200" xr:uid="{D595C65F-EE8D-4143-BC0E-82BC80F3DD03}"/>
  <mergeCells count="6">
    <mergeCell ref="Q1:R2"/>
    <mergeCell ref="A1:F1"/>
    <mergeCell ref="H1:I2"/>
    <mergeCell ref="J1:K2"/>
    <mergeCell ref="L1:M2"/>
    <mergeCell ref="O1:P2"/>
  </mergeCells>
  <phoneticPr fontId="4" type="noConversion"/>
  <conditionalFormatting sqref="A1:F1048576">
    <cfRule type="expression" dxfId="8" priority="1">
      <formula>$F1="소실"</formula>
    </cfRule>
    <cfRule type="expression" dxfId="7" priority="2">
      <formula>$F1="일반대여"</formula>
    </cfRule>
    <cfRule type="expression" dxfId="6" priority="3">
      <formula>$F1="장기대여"</formula>
    </cfRule>
  </conditionalFormatting>
  <hyperlinks>
    <hyperlink ref="H1:I2" location="'TAM-T'!A1" display="TAM-T" xr:uid="{9F3D68A1-DE8E-854E-87A4-DE7A74D81F4C}"/>
    <hyperlink ref="J1:K2" location="'TAM-A'!A1" display="TAM-A" xr:uid="{7C29A7E3-C0A3-2043-9C27-E0FD8486099E}"/>
    <hyperlink ref="O1:P2" location="'NA-N'!A1" display="NA-N" xr:uid="{003F1758-9C85-7944-B983-7310FDEC1A00}"/>
    <hyperlink ref="Q1:R2" location="'NA-A'!A1" display="NA-A" xr:uid="{6FFD02D8-5311-014F-8A29-97A39419E8E8}"/>
    <hyperlink ref="L1:M2" location="대여현황!A1" display="대여현황" xr:uid="{CA06FA75-9379-8449-B690-A91518A9D1E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6BF0D-D9F0-D245-97CF-00F7AD0D6A35}">
  <sheetPr codeName="Sheet6"/>
  <dimension ref="A1:R200"/>
  <sheetViews>
    <sheetView workbookViewId="0">
      <pane ySplit="2" topLeftCell="A3" activePane="bottomLeft" state="frozen"/>
      <selection pane="bottomLeft" activeCell="J8" sqref="J8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38" t="s">
        <v>372</v>
      </c>
      <c r="B1" s="39"/>
      <c r="C1" s="39"/>
      <c r="D1" s="39"/>
      <c r="E1" s="39"/>
      <c r="F1" s="40"/>
      <c r="G1" s="1"/>
      <c r="H1" s="26" t="s">
        <v>381</v>
      </c>
      <c r="I1" s="27"/>
      <c r="J1" s="26" t="s">
        <v>382</v>
      </c>
      <c r="K1" s="27"/>
      <c r="L1" s="30" t="s">
        <v>383</v>
      </c>
      <c r="M1" s="31"/>
      <c r="N1" s="1"/>
      <c r="O1" s="41" t="s">
        <v>387</v>
      </c>
      <c r="P1" s="42"/>
      <c r="Q1" s="30" t="s">
        <v>385</v>
      </c>
      <c r="R1" s="31"/>
    </row>
    <row r="2" spans="1:18" ht="20" customHeight="1" thickBot="1">
      <c r="A2" s="12" t="s">
        <v>140</v>
      </c>
      <c r="B2" s="12" t="s">
        <v>365</v>
      </c>
      <c r="C2" s="12" t="s">
        <v>142</v>
      </c>
      <c r="D2" s="12" t="s">
        <v>138</v>
      </c>
      <c r="E2" s="13" t="s">
        <v>295</v>
      </c>
      <c r="F2" s="14" t="s">
        <v>367</v>
      </c>
      <c r="G2" s="1"/>
      <c r="H2" s="28"/>
      <c r="I2" s="29"/>
      <c r="J2" s="28"/>
      <c r="K2" s="29"/>
      <c r="L2" s="32"/>
      <c r="M2" s="33"/>
      <c r="N2" s="1"/>
      <c r="O2" s="43"/>
      <c r="P2" s="44"/>
      <c r="Q2" s="32"/>
      <c r="R2" s="33"/>
    </row>
    <row r="3" spans="1:18" ht="20" customHeight="1">
      <c r="A3" s="20">
        <v>331</v>
      </c>
      <c r="B3" s="21" t="s">
        <v>259</v>
      </c>
      <c r="C3" s="20" t="str">
        <f>IF(ISNUMBER(MATCH($A3, 대여현황!$A:$A, 0)), INDEX(대여현황!C:C, MATCH($A3, 대여현황!$A:$A, 0)), "")</f>
        <v/>
      </c>
      <c r="D3" s="20" t="str">
        <f>IF(ISNUMBER(MATCH($A3, 대여현황!$A:$A, 0)), INDEX(대여현황!D:D, MATCH($A3, 대여현황!$A:$A, 0)), "")</f>
        <v/>
      </c>
      <c r="E3" s="22" t="str">
        <f>IF(ISNUMBER(MATCH($A3, 대여현황!$A:$A, 0)), INDEX(대여현황!E:E, MATCH($A3, 대여현황!$A:$A, 0)), "")</f>
        <v/>
      </c>
      <c r="F3" s="22" t="str">
        <f>IF(ISNUMBER(MATCH($A3, 대여현황!$A:$A, 0)), INDEX(대여현황!F:F, MATCH($A3, 대여현황!$A:$A, 0)), "-")</f>
        <v>-</v>
      </c>
    </row>
    <row r="4" spans="1:18" ht="20" customHeight="1">
      <c r="A4" s="20">
        <v>332</v>
      </c>
      <c r="B4" s="21" t="s">
        <v>200</v>
      </c>
      <c r="C4" s="20" t="str">
        <f>IF(ISNUMBER(MATCH($A4, 대여현황!$A:$A, 0)), INDEX(대여현황!C:C, MATCH($A4, 대여현황!$A:$A, 0)), "")</f>
        <v/>
      </c>
      <c r="D4" s="20" t="str">
        <f>IF(ISNUMBER(MATCH($A4, 대여현황!$A:$A, 0)), INDEX(대여현황!D:D, MATCH($A4, 대여현황!$A:$A, 0)), "")</f>
        <v/>
      </c>
      <c r="E4" s="22" t="str">
        <f>IF(ISNUMBER(MATCH($A4, 대여현황!$A:$A, 0)), INDEX(대여현황!E:E, MATCH($A4, 대여현황!$A:$A, 0)), "")</f>
        <v/>
      </c>
      <c r="F4" s="22" t="str">
        <f>IF(ISNUMBER(MATCH($A4, 대여현황!$A:$A, 0)), INDEX(대여현황!F:F, MATCH($A4, 대여현황!$A:$A, 0)), "-")</f>
        <v>-</v>
      </c>
    </row>
    <row r="5" spans="1:18" ht="20" customHeight="1">
      <c r="A5" s="20">
        <v>333</v>
      </c>
      <c r="B5" s="21" t="s">
        <v>200</v>
      </c>
      <c r="C5" s="20" t="str">
        <f>IF(ISNUMBER(MATCH($A5, 대여현황!$A:$A, 0)), INDEX(대여현황!C:C, MATCH($A5, 대여현황!$A:$A, 0)), "")</f>
        <v/>
      </c>
      <c r="D5" s="20" t="str">
        <f>IF(ISNUMBER(MATCH($A5, 대여현황!$A:$A, 0)), INDEX(대여현황!D:D, MATCH($A5, 대여현황!$A:$A, 0)), "")</f>
        <v/>
      </c>
      <c r="E5" s="22" t="str">
        <f>IF(ISNUMBER(MATCH($A5, 대여현황!$A:$A, 0)), INDEX(대여현황!E:E, MATCH($A5, 대여현황!$A:$A, 0)), "")</f>
        <v/>
      </c>
      <c r="F5" s="22" t="str">
        <f>IF(ISNUMBER(MATCH($A5, 대여현황!$A:$A, 0)), INDEX(대여현황!F:F, MATCH($A5, 대여현황!$A:$A, 0)), "-")</f>
        <v>-</v>
      </c>
    </row>
    <row r="6" spans="1:18" ht="20" customHeight="1">
      <c r="A6" s="20">
        <v>334</v>
      </c>
      <c r="B6" s="21" t="s">
        <v>86</v>
      </c>
      <c r="C6" s="20" t="str">
        <f>IF(ISNUMBER(MATCH($A6, 대여현황!$A:$A, 0)), INDEX(대여현황!C:C, MATCH($A6, 대여현황!$A:$A, 0)), "")</f>
        <v/>
      </c>
      <c r="D6" s="20" t="str">
        <f>IF(ISNUMBER(MATCH($A6, 대여현황!$A:$A, 0)), INDEX(대여현황!D:D, MATCH($A6, 대여현황!$A:$A, 0)), "")</f>
        <v/>
      </c>
      <c r="E6" s="22" t="str">
        <f>IF(ISNUMBER(MATCH($A6, 대여현황!$A:$A, 0)), INDEX(대여현황!E:E, MATCH($A6, 대여현황!$A:$A, 0)), "")</f>
        <v/>
      </c>
      <c r="F6" s="22" t="str">
        <f>IF(ISNUMBER(MATCH($A6, 대여현황!$A:$A, 0)), INDEX(대여현황!F:F, MATCH($A6, 대여현황!$A:$A, 0)), "-")</f>
        <v>-</v>
      </c>
    </row>
    <row r="7" spans="1:18" ht="20" customHeight="1">
      <c r="A7" s="20">
        <v>335</v>
      </c>
      <c r="B7" s="21" t="s">
        <v>114</v>
      </c>
      <c r="C7" s="20" t="str">
        <f>IF(ISNUMBER(MATCH($A7, 대여현황!$A:$A, 0)), INDEX(대여현황!C:C, MATCH($A7, 대여현황!$A:$A, 0)), "")</f>
        <v/>
      </c>
      <c r="D7" s="20" t="str">
        <f>IF(ISNUMBER(MATCH($A7, 대여현황!$A:$A, 0)), INDEX(대여현황!D:D, MATCH($A7, 대여현황!$A:$A, 0)), "")</f>
        <v/>
      </c>
      <c r="E7" s="22" t="str">
        <f>IF(ISNUMBER(MATCH($A7, 대여현황!$A:$A, 0)), INDEX(대여현황!E:E, MATCH($A7, 대여현황!$A:$A, 0)), "")</f>
        <v/>
      </c>
      <c r="F7" s="22" t="str">
        <f>IF(ISNUMBER(MATCH($A7, 대여현황!$A:$A, 0)), INDEX(대여현황!F:F, MATCH($A7, 대여현황!$A:$A, 0)), "-")</f>
        <v>-</v>
      </c>
    </row>
    <row r="8" spans="1:18" ht="20" customHeight="1">
      <c r="A8" s="20">
        <v>336</v>
      </c>
      <c r="B8" s="21" t="s">
        <v>114</v>
      </c>
      <c r="C8" s="20" t="str">
        <f>IF(ISNUMBER(MATCH($A8, 대여현황!$A:$A, 0)), INDEX(대여현황!C:C, MATCH($A8, 대여현황!$A:$A, 0)), "")</f>
        <v/>
      </c>
      <c r="D8" s="20" t="str">
        <f>IF(ISNUMBER(MATCH($A8, 대여현황!$A:$A, 0)), INDEX(대여현황!D:D, MATCH($A8, 대여현황!$A:$A, 0)), "")</f>
        <v/>
      </c>
      <c r="E8" s="22" t="str">
        <f>IF(ISNUMBER(MATCH($A8, 대여현황!$A:$A, 0)), INDEX(대여현황!E:E, MATCH($A8, 대여현황!$A:$A, 0)), "")</f>
        <v/>
      </c>
      <c r="F8" s="22" t="str">
        <f>IF(ISNUMBER(MATCH($A8, 대여현황!$A:$A, 0)), INDEX(대여현황!F:F, MATCH($A8, 대여현황!$A:$A, 0)), "-")</f>
        <v>-</v>
      </c>
    </row>
    <row r="9" spans="1:18" ht="20" customHeight="1">
      <c r="A9" s="20">
        <v>337</v>
      </c>
      <c r="B9" s="21" t="s">
        <v>85</v>
      </c>
      <c r="C9" s="20" t="str">
        <f>IF(ISNUMBER(MATCH($A9, 대여현황!$A:$A, 0)), INDEX(대여현황!C:C, MATCH($A9, 대여현황!$A:$A, 0)), "")</f>
        <v/>
      </c>
      <c r="D9" s="20" t="str">
        <f>IF(ISNUMBER(MATCH($A9, 대여현황!$A:$A, 0)), INDEX(대여현황!D:D, MATCH($A9, 대여현황!$A:$A, 0)), "")</f>
        <v/>
      </c>
      <c r="E9" s="22" t="str">
        <f>IF(ISNUMBER(MATCH($A9, 대여현황!$A:$A, 0)), INDEX(대여현황!E:E, MATCH($A9, 대여현황!$A:$A, 0)), "")</f>
        <v/>
      </c>
      <c r="F9" s="22" t="str">
        <f>IF(ISNUMBER(MATCH($A9, 대여현황!$A:$A, 0)), INDEX(대여현황!F:F, MATCH($A9, 대여현황!$A:$A, 0)), "-")</f>
        <v>-</v>
      </c>
    </row>
    <row r="10" spans="1:18" ht="20" customHeight="1">
      <c r="A10" s="20">
        <v>338</v>
      </c>
      <c r="B10" s="21" t="s">
        <v>82</v>
      </c>
      <c r="C10" s="20" t="str">
        <f>IF(ISNUMBER(MATCH($A10, 대여현황!$A:$A, 0)), INDEX(대여현황!C:C, MATCH($A10, 대여현황!$A:$A, 0)), "")</f>
        <v/>
      </c>
      <c r="D10" s="20" t="str">
        <f>IF(ISNUMBER(MATCH($A10, 대여현황!$A:$A, 0)), INDEX(대여현황!D:D, MATCH($A10, 대여현황!$A:$A, 0)), "")</f>
        <v/>
      </c>
      <c r="E10" s="22" t="str">
        <f>IF(ISNUMBER(MATCH($A10, 대여현황!$A:$A, 0)), INDEX(대여현황!E:E, MATCH($A10, 대여현황!$A:$A, 0)), "")</f>
        <v/>
      </c>
      <c r="F10" s="22" t="str">
        <f>IF(ISNUMBER(MATCH($A10, 대여현황!$A:$A, 0)), INDEX(대여현황!F:F, MATCH($A10, 대여현황!$A:$A, 0)), "-")</f>
        <v>-</v>
      </c>
    </row>
    <row r="11" spans="1:18" ht="20" customHeight="1">
      <c r="A11" s="20">
        <v>339</v>
      </c>
      <c r="B11" s="21" t="s">
        <v>117</v>
      </c>
      <c r="C11" s="20" t="str">
        <f>IF(ISNUMBER(MATCH($A11, 대여현황!$A:$A, 0)), INDEX(대여현황!C:C, MATCH($A11, 대여현황!$A:$A, 0)), "")</f>
        <v/>
      </c>
      <c r="D11" s="20" t="str">
        <f>IF(ISNUMBER(MATCH($A11, 대여현황!$A:$A, 0)), INDEX(대여현황!D:D, MATCH($A11, 대여현황!$A:$A, 0)), "")</f>
        <v/>
      </c>
      <c r="E11" s="22" t="str">
        <f>IF(ISNUMBER(MATCH($A11, 대여현황!$A:$A, 0)), INDEX(대여현황!E:E, MATCH($A11, 대여현황!$A:$A, 0)), "")</f>
        <v/>
      </c>
      <c r="F11" s="22" t="str">
        <f>IF(ISNUMBER(MATCH($A11, 대여현황!$A:$A, 0)), INDEX(대여현황!F:F, MATCH($A11, 대여현황!$A:$A, 0)), "-")</f>
        <v>-</v>
      </c>
    </row>
    <row r="12" spans="1:18" ht="20" customHeight="1">
      <c r="A12" s="20">
        <v>340</v>
      </c>
      <c r="B12" s="21" t="s">
        <v>113</v>
      </c>
      <c r="C12" s="20" t="str">
        <f>IF(ISNUMBER(MATCH($A12, 대여현황!$A:$A, 0)), INDEX(대여현황!C:C, MATCH($A12, 대여현황!$A:$A, 0)), "")</f>
        <v/>
      </c>
      <c r="D12" s="20" t="str">
        <f>IF(ISNUMBER(MATCH($A12, 대여현황!$A:$A, 0)), INDEX(대여현황!D:D, MATCH($A12, 대여현황!$A:$A, 0)), "")</f>
        <v/>
      </c>
      <c r="E12" s="22" t="str">
        <f>IF(ISNUMBER(MATCH($A12, 대여현황!$A:$A, 0)), INDEX(대여현황!E:E, MATCH($A12, 대여현황!$A:$A, 0)), "")</f>
        <v/>
      </c>
      <c r="F12" s="22" t="str">
        <f>IF(ISNUMBER(MATCH($A12, 대여현황!$A:$A, 0)), INDEX(대여현황!F:F, MATCH($A12, 대여현황!$A:$A, 0)), "-")</f>
        <v>-</v>
      </c>
    </row>
    <row r="13" spans="1:18" ht="20" customHeight="1">
      <c r="A13" s="20">
        <v>341</v>
      </c>
      <c r="B13" s="21" t="s">
        <v>112</v>
      </c>
      <c r="C13" s="20" t="str">
        <f>IF(ISNUMBER(MATCH($A13, 대여현황!$A:$A, 0)), INDEX(대여현황!C:C, MATCH($A13, 대여현황!$A:$A, 0)), "")</f>
        <v/>
      </c>
      <c r="D13" s="20" t="str">
        <f>IF(ISNUMBER(MATCH($A13, 대여현황!$A:$A, 0)), INDEX(대여현황!D:D, MATCH($A13, 대여현황!$A:$A, 0)), "")</f>
        <v/>
      </c>
      <c r="E13" s="22" t="str">
        <f>IF(ISNUMBER(MATCH($A13, 대여현황!$A:$A, 0)), INDEX(대여현황!E:E, MATCH($A13, 대여현황!$A:$A, 0)), "")</f>
        <v/>
      </c>
      <c r="F13" s="22" t="str">
        <f>IF(ISNUMBER(MATCH($A13, 대여현황!$A:$A, 0)), INDEX(대여현황!F:F, MATCH($A13, 대여현황!$A:$A, 0)), "-")</f>
        <v>-</v>
      </c>
    </row>
    <row r="14" spans="1:18" ht="20" customHeight="1">
      <c r="A14" s="20">
        <v>342</v>
      </c>
      <c r="B14" s="21" t="s">
        <v>112</v>
      </c>
      <c r="C14" s="20" t="str">
        <f>IF(ISNUMBER(MATCH($A14, 대여현황!$A:$A, 0)), INDEX(대여현황!C:C, MATCH($A14, 대여현황!$A:$A, 0)), "")</f>
        <v/>
      </c>
      <c r="D14" s="20" t="str">
        <f>IF(ISNUMBER(MATCH($A14, 대여현황!$A:$A, 0)), INDEX(대여현황!D:D, MATCH($A14, 대여현황!$A:$A, 0)), "")</f>
        <v/>
      </c>
      <c r="E14" s="22" t="str">
        <f>IF(ISNUMBER(MATCH($A14, 대여현황!$A:$A, 0)), INDEX(대여현황!E:E, MATCH($A14, 대여현황!$A:$A, 0)), "")</f>
        <v/>
      </c>
      <c r="F14" s="22" t="str">
        <f>IF(ISNUMBER(MATCH($A14, 대여현황!$A:$A, 0)), INDEX(대여현황!F:F, MATCH($A14, 대여현황!$A:$A, 0)), "-")</f>
        <v>-</v>
      </c>
    </row>
    <row r="15" spans="1:18" ht="20" customHeight="1">
      <c r="A15" s="20">
        <v>343</v>
      </c>
      <c r="B15" s="21" t="s">
        <v>361</v>
      </c>
      <c r="C15" s="20" t="str">
        <f>IF(ISNUMBER(MATCH($A15, 대여현황!$A:$A, 0)), INDEX(대여현황!C:C, MATCH($A15, 대여현황!$A:$A, 0)), "")</f>
        <v/>
      </c>
      <c r="D15" s="20" t="str">
        <f>IF(ISNUMBER(MATCH($A15, 대여현황!$A:$A, 0)), INDEX(대여현황!D:D, MATCH($A15, 대여현황!$A:$A, 0)), "")</f>
        <v/>
      </c>
      <c r="E15" s="22" t="str">
        <f>IF(ISNUMBER(MATCH($A15, 대여현황!$A:$A, 0)), INDEX(대여현황!E:E, MATCH($A15, 대여현황!$A:$A, 0)), "")</f>
        <v/>
      </c>
      <c r="F15" s="22" t="str">
        <f>IF(ISNUMBER(MATCH($A15, 대여현황!$A:$A, 0)), INDEX(대여현황!F:F, MATCH($A15, 대여현황!$A:$A, 0)), "-")</f>
        <v>-</v>
      </c>
    </row>
    <row r="16" spans="1:18" ht="20" customHeight="1">
      <c r="A16" s="20">
        <v>344</v>
      </c>
      <c r="B16" s="21" t="s">
        <v>361</v>
      </c>
      <c r="C16" s="20" t="str">
        <f>IF(ISNUMBER(MATCH($A16, 대여현황!$A:$A, 0)), INDEX(대여현황!C:C, MATCH($A16, 대여현황!$A:$A, 0)), "")</f>
        <v/>
      </c>
      <c r="D16" s="20" t="str">
        <f>IF(ISNUMBER(MATCH($A16, 대여현황!$A:$A, 0)), INDEX(대여현황!D:D, MATCH($A16, 대여현황!$A:$A, 0)), "")</f>
        <v/>
      </c>
      <c r="E16" s="22" t="str">
        <f>IF(ISNUMBER(MATCH($A16, 대여현황!$A:$A, 0)), INDEX(대여현황!E:E, MATCH($A16, 대여현황!$A:$A, 0)), "")</f>
        <v/>
      </c>
      <c r="F16" s="22" t="str">
        <f>IF(ISNUMBER(MATCH($A16, 대여현황!$A:$A, 0)), INDEX(대여현황!F:F, MATCH($A16, 대여현황!$A:$A, 0)), "-")</f>
        <v>-</v>
      </c>
    </row>
    <row r="17" spans="1:6" ht="20" customHeight="1">
      <c r="A17" s="20">
        <v>345</v>
      </c>
      <c r="B17" s="21" t="s">
        <v>356</v>
      </c>
      <c r="C17" s="20" t="str">
        <f>IF(ISNUMBER(MATCH($A17, 대여현황!$A:$A, 0)), INDEX(대여현황!C:C, MATCH($A17, 대여현황!$A:$A, 0)), "")</f>
        <v/>
      </c>
      <c r="D17" s="20" t="str">
        <f>IF(ISNUMBER(MATCH($A17, 대여현황!$A:$A, 0)), INDEX(대여현황!D:D, MATCH($A17, 대여현황!$A:$A, 0)), "")</f>
        <v/>
      </c>
      <c r="E17" s="22" t="str">
        <f>IF(ISNUMBER(MATCH($A17, 대여현황!$A:$A, 0)), INDEX(대여현황!E:E, MATCH($A17, 대여현황!$A:$A, 0)), "")</f>
        <v/>
      </c>
      <c r="F17" s="22" t="str">
        <f>IF(ISNUMBER(MATCH($A17, 대여현황!$A:$A, 0)), INDEX(대여현황!F:F, MATCH($A17, 대여현황!$A:$A, 0)), "-")</f>
        <v>-</v>
      </c>
    </row>
    <row r="18" spans="1:6" ht="20" customHeight="1">
      <c r="A18" s="20">
        <v>346</v>
      </c>
      <c r="B18" s="21" t="s">
        <v>356</v>
      </c>
      <c r="C18" s="20" t="str">
        <f>IF(ISNUMBER(MATCH($A18, 대여현황!$A:$A, 0)), INDEX(대여현황!C:C, MATCH($A18, 대여현황!$A:$A, 0)), "")</f>
        <v/>
      </c>
      <c r="D18" s="20" t="str">
        <f>IF(ISNUMBER(MATCH($A18, 대여현황!$A:$A, 0)), INDEX(대여현황!D:D, MATCH($A18, 대여현황!$A:$A, 0)), "")</f>
        <v/>
      </c>
      <c r="E18" s="22" t="str">
        <f>IF(ISNUMBER(MATCH($A18, 대여현황!$A:$A, 0)), INDEX(대여현황!E:E, MATCH($A18, 대여현황!$A:$A, 0)), "")</f>
        <v/>
      </c>
      <c r="F18" s="22" t="str">
        <f>IF(ISNUMBER(MATCH($A18, 대여현황!$A:$A, 0)), INDEX(대여현황!F:F, MATCH($A18, 대여현황!$A:$A, 0)), "-")</f>
        <v>-</v>
      </c>
    </row>
    <row r="19" spans="1:6" ht="20" customHeight="1">
      <c r="A19" s="20">
        <v>347</v>
      </c>
      <c r="B19" s="21" t="s">
        <v>84</v>
      </c>
      <c r="C19" s="20" t="str">
        <f>IF(ISNUMBER(MATCH($A19, 대여현황!$A:$A, 0)), INDEX(대여현황!C:C, MATCH($A19, 대여현황!$A:$A, 0)), "")</f>
        <v/>
      </c>
      <c r="D19" s="20" t="str">
        <f>IF(ISNUMBER(MATCH($A19, 대여현황!$A:$A, 0)), INDEX(대여현황!D:D, MATCH($A19, 대여현황!$A:$A, 0)), "")</f>
        <v/>
      </c>
      <c r="E19" s="22" t="str">
        <f>IF(ISNUMBER(MATCH($A19, 대여현황!$A:$A, 0)), INDEX(대여현황!E:E, MATCH($A19, 대여현황!$A:$A, 0)), "")</f>
        <v/>
      </c>
      <c r="F19" s="22" t="str">
        <f>IF(ISNUMBER(MATCH($A19, 대여현황!$A:$A, 0)), INDEX(대여현황!F:F, MATCH($A19, 대여현황!$A:$A, 0)), "-")</f>
        <v>-</v>
      </c>
    </row>
    <row r="20" spans="1:6" ht="20" customHeight="1">
      <c r="A20" s="20">
        <v>348</v>
      </c>
      <c r="B20" s="21" t="s">
        <v>84</v>
      </c>
      <c r="C20" s="20" t="str">
        <f>IF(ISNUMBER(MATCH($A20, 대여현황!$A:$A, 0)), INDEX(대여현황!C:C, MATCH($A20, 대여현황!$A:$A, 0)), "")</f>
        <v/>
      </c>
      <c r="D20" s="20" t="str">
        <f>IF(ISNUMBER(MATCH($A20, 대여현황!$A:$A, 0)), INDEX(대여현황!D:D, MATCH($A20, 대여현황!$A:$A, 0)), "")</f>
        <v/>
      </c>
      <c r="E20" s="22" t="str">
        <f>IF(ISNUMBER(MATCH($A20, 대여현황!$A:$A, 0)), INDEX(대여현황!E:E, MATCH($A20, 대여현황!$A:$A, 0)), "")</f>
        <v/>
      </c>
      <c r="F20" s="22" t="str">
        <f>IF(ISNUMBER(MATCH($A20, 대여현황!$A:$A, 0)), INDEX(대여현황!F:F, MATCH($A20, 대여현황!$A:$A, 0)), "-")</f>
        <v>-</v>
      </c>
    </row>
    <row r="21" spans="1:6" ht="20" customHeight="1">
      <c r="A21" s="20">
        <v>349</v>
      </c>
      <c r="B21" s="21" t="s">
        <v>84</v>
      </c>
      <c r="C21" s="20" t="str">
        <f>IF(ISNUMBER(MATCH($A21, 대여현황!$A:$A, 0)), INDEX(대여현황!C:C, MATCH($A21, 대여현황!$A:$A, 0)), "")</f>
        <v/>
      </c>
      <c r="D21" s="20" t="str">
        <f>IF(ISNUMBER(MATCH($A21, 대여현황!$A:$A, 0)), INDEX(대여현황!D:D, MATCH($A21, 대여현황!$A:$A, 0)), "")</f>
        <v/>
      </c>
      <c r="E21" s="22" t="str">
        <f>IF(ISNUMBER(MATCH($A21, 대여현황!$A:$A, 0)), INDEX(대여현황!E:E, MATCH($A21, 대여현황!$A:$A, 0)), "")</f>
        <v/>
      </c>
      <c r="F21" s="22" t="str">
        <f>IF(ISNUMBER(MATCH($A21, 대여현황!$A:$A, 0)), INDEX(대여현황!F:F, MATCH($A21, 대여현황!$A:$A, 0)), "-")</f>
        <v>-</v>
      </c>
    </row>
    <row r="22" spans="1:6" ht="20" customHeight="1">
      <c r="A22" s="20">
        <v>350</v>
      </c>
      <c r="B22" s="21" t="s">
        <v>109</v>
      </c>
      <c r="C22" s="20" t="str">
        <f>IF(ISNUMBER(MATCH($A22, 대여현황!$A:$A, 0)), INDEX(대여현황!C:C, MATCH($A22, 대여현황!$A:$A, 0)), "")</f>
        <v/>
      </c>
      <c r="D22" s="20" t="str">
        <f>IF(ISNUMBER(MATCH($A22, 대여현황!$A:$A, 0)), INDEX(대여현황!D:D, MATCH($A22, 대여현황!$A:$A, 0)), "")</f>
        <v/>
      </c>
      <c r="E22" s="22" t="str">
        <f>IF(ISNUMBER(MATCH($A22, 대여현황!$A:$A, 0)), INDEX(대여현황!E:E, MATCH($A22, 대여현황!$A:$A, 0)), "")</f>
        <v/>
      </c>
      <c r="F22" s="22" t="str">
        <f>IF(ISNUMBER(MATCH($A22, 대여현황!$A:$A, 0)), INDEX(대여현황!F:F, MATCH($A22, 대여현황!$A:$A, 0)), "-")</f>
        <v>-</v>
      </c>
    </row>
    <row r="23" spans="1:6" ht="20" customHeight="1">
      <c r="A23" s="20">
        <v>351</v>
      </c>
      <c r="B23" s="21" t="s">
        <v>106</v>
      </c>
      <c r="C23" s="20" t="str">
        <f>IF(ISNUMBER(MATCH($A23, 대여현황!$A:$A, 0)), INDEX(대여현황!C:C, MATCH($A23, 대여현황!$A:$A, 0)), "")</f>
        <v/>
      </c>
      <c r="D23" s="20" t="str">
        <f>IF(ISNUMBER(MATCH($A23, 대여현황!$A:$A, 0)), INDEX(대여현황!D:D, MATCH($A23, 대여현황!$A:$A, 0)), "")</f>
        <v/>
      </c>
      <c r="E23" s="22" t="str">
        <f>IF(ISNUMBER(MATCH($A23, 대여현황!$A:$A, 0)), INDEX(대여현황!E:E, MATCH($A23, 대여현황!$A:$A, 0)), "")</f>
        <v/>
      </c>
      <c r="F23" s="22" t="str">
        <f>IF(ISNUMBER(MATCH($A23, 대여현황!$A:$A, 0)), INDEX(대여현황!F:F, MATCH($A23, 대여현황!$A:$A, 0)), "-")</f>
        <v>-</v>
      </c>
    </row>
    <row r="24" spans="1:6" ht="20" customHeight="1">
      <c r="A24" s="20">
        <v>352</v>
      </c>
      <c r="B24" s="21" t="s">
        <v>106</v>
      </c>
      <c r="C24" s="20" t="str">
        <f>IF(ISNUMBER(MATCH($A24, 대여현황!$A:$A, 0)), INDEX(대여현황!C:C, MATCH($A24, 대여현황!$A:$A, 0)), "")</f>
        <v/>
      </c>
      <c r="D24" s="20" t="str">
        <f>IF(ISNUMBER(MATCH($A24, 대여현황!$A:$A, 0)), INDEX(대여현황!D:D, MATCH($A24, 대여현황!$A:$A, 0)), "")</f>
        <v/>
      </c>
      <c r="E24" s="22" t="str">
        <f>IF(ISNUMBER(MATCH($A24, 대여현황!$A:$A, 0)), INDEX(대여현황!E:E, MATCH($A24, 대여현황!$A:$A, 0)), "")</f>
        <v/>
      </c>
      <c r="F24" s="22" t="str">
        <f>IF(ISNUMBER(MATCH($A24, 대여현황!$A:$A, 0)), INDEX(대여현황!F:F, MATCH($A24, 대여현황!$A:$A, 0)), "-")</f>
        <v>-</v>
      </c>
    </row>
    <row r="25" spans="1:6" ht="20" customHeight="1">
      <c r="A25" s="20">
        <v>353</v>
      </c>
      <c r="B25" s="21" t="s">
        <v>106</v>
      </c>
      <c r="C25" s="20" t="str">
        <f>IF(ISNUMBER(MATCH($A25, 대여현황!$A:$A, 0)), INDEX(대여현황!C:C, MATCH($A25, 대여현황!$A:$A, 0)), "")</f>
        <v/>
      </c>
      <c r="D25" s="20" t="str">
        <f>IF(ISNUMBER(MATCH($A25, 대여현황!$A:$A, 0)), INDEX(대여현황!D:D, MATCH($A25, 대여현황!$A:$A, 0)), "")</f>
        <v/>
      </c>
      <c r="E25" s="22" t="str">
        <f>IF(ISNUMBER(MATCH($A25, 대여현황!$A:$A, 0)), INDEX(대여현황!E:E, MATCH($A25, 대여현황!$A:$A, 0)), "")</f>
        <v/>
      </c>
      <c r="F25" s="22" t="str">
        <f>IF(ISNUMBER(MATCH($A25, 대여현황!$A:$A, 0)), INDEX(대여현황!F:F, MATCH($A25, 대여현황!$A:$A, 0)), "-")</f>
        <v>-</v>
      </c>
    </row>
    <row r="26" spans="1:6" ht="20" customHeight="1">
      <c r="A26" s="20">
        <v>354</v>
      </c>
      <c r="B26" s="21" t="s">
        <v>352</v>
      </c>
      <c r="C26" s="20" t="str">
        <f>IF(ISNUMBER(MATCH($A26, 대여현황!$A:$A, 0)), INDEX(대여현황!C:C, MATCH($A26, 대여현황!$A:$A, 0)), "")</f>
        <v/>
      </c>
      <c r="D26" s="20" t="str">
        <f>IF(ISNUMBER(MATCH($A26, 대여현황!$A:$A, 0)), INDEX(대여현황!D:D, MATCH($A26, 대여현황!$A:$A, 0)), "")</f>
        <v/>
      </c>
      <c r="E26" s="22" t="str">
        <f>IF(ISNUMBER(MATCH($A26, 대여현황!$A:$A, 0)), INDEX(대여현황!E:E, MATCH($A26, 대여현황!$A:$A, 0)), "")</f>
        <v/>
      </c>
      <c r="F26" s="22" t="str">
        <f>IF(ISNUMBER(MATCH($A26, 대여현황!$A:$A, 0)), INDEX(대여현황!F:F, MATCH($A26, 대여현황!$A:$A, 0)), "-")</f>
        <v>-</v>
      </c>
    </row>
    <row r="27" spans="1:6" ht="20" customHeight="1">
      <c r="A27" s="20">
        <v>355</v>
      </c>
      <c r="B27" s="21" t="s">
        <v>352</v>
      </c>
      <c r="C27" s="20" t="str">
        <f>IF(ISNUMBER(MATCH($A27, 대여현황!$A:$A, 0)), INDEX(대여현황!C:C, MATCH($A27, 대여현황!$A:$A, 0)), "")</f>
        <v/>
      </c>
      <c r="D27" s="20" t="str">
        <f>IF(ISNUMBER(MATCH($A27, 대여현황!$A:$A, 0)), INDEX(대여현황!D:D, MATCH($A27, 대여현황!$A:$A, 0)), "")</f>
        <v/>
      </c>
      <c r="E27" s="22" t="str">
        <f>IF(ISNUMBER(MATCH($A27, 대여현황!$A:$A, 0)), INDEX(대여현황!E:E, MATCH($A27, 대여현황!$A:$A, 0)), "")</f>
        <v/>
      </c>
      <c r="F27" s="22" t="str">
        <f>IF(ISNUMBER(MATCH($A27, 대여현황!$A:$A, 0)), INDEX(대여현황!F:F, MATCH($A27, 대여현황!$A:$A, 0)), "-")</f>
        <v>-</v>
      </c>
    </row>
    <row r="28" spans="1:6" ht="20" customHeight="1">
      <c r="A28" s="20">
        <v>356</v>
      </c>
      <c r="B28" s="21" t="s">
        <v>110</v>
      </c>
      <c r="C28" s="20" t="str">
        <f>IF(ISNUMBER(MATCH($A28, 대여현황!$A:$A, 0)), INDEX(대여현황!C:C, MATCH($A28, 대여현황!$A:$A, 0)), "")</f>
        <v/>
      </c>
      <c r="D28" s="20" t="str">
        <f>IF(ISNUMBER(MATCH($A28, 대여현황!$A:$A, 0)), INDEX(대여현황!D:D, MATCH($A28, 대여현황!$A:$A, 0)), "")</f>
        <v/>
      </c>
      <c r="E28" s="22" t="str">
        <f>IF(ISNUMBER(MATCH($A28, 대여현황!$A:$A, 0)), INDEX(대여현황!E:E, MATCH($A28, 대여현황!$A:$A, 0)), "")</f>
        <v/>
      </c>
      <c r="F28" s="22" t="str">
        <f>IF(ISNUMBER(MATCH($A28, 대여현황!$A:$A, 0)), INDEX(대여현황!F:F, MATCH($A28, 대여현황!$A:$A, 0)), "-")</f>
        <v>-</v>
      </c>
    </row>
    <row r="29" spans="1:6" ht="20" customHeight="1">
      <c r="A29" s="20">
        <v>357</v>
      </c>
      <c r="B29" s="21" t="s">
        <v>110</v>
      </c>
      <c r="C29" s="20" t="str">
        <f>IF(ISNUMBER(MATCH($A29, 대여현황!$A:$A, 0)), INDEX(대여현황!C:C, MATCH($A29, 대여현황!$A:$A, 0)), "")</f>
        <v/>
      </c>
      <c r="D29" s="20" t="str">
        <f>IF(ISNUMBER(MATCH($A29, 대여현황!$A:$A, 0)), INDEX(대여현황!D:D, MATCH($A29, 대여현황!$A:$A, 0)), "")</f>
        <v/>
      </c>
      <c r="E29" s="22" t="str">
        <f>IF(ISNUMBER(MATCH($A29, 대여현황!$A:$A, 0)), INDEX(대여현황!E:E, MATCH($A29, 대여현황!$A:$A, 0)), "")</f>
        <v/>
      </c>
      <c r="F29" s="22" t="str">
        <f>IF(ISNUMBER(MATCH($A29, 대여현황!$A:$A, 0)), INDEX(대여현황!F:F, MATCH($A29, 대여현황!$A:$A, 0)), "-")</f>
        <v>-</v>
      </c>
    </row>
    <row r="30" spans="1:6" ht="20" customHeight="1">
      <c r="A30" s="20">
        <v>358</v>
      </c>
      <c r="B30" s="21" t="s">
        <v>54</v>
      </c>
      <c r="C30" s="20" t="str">
        <f>IF(ISNUMBER(MATCH($A30, 대여현황!$A:$A, 0)), INDEX(대여현황!C:C, MATCH($A30, 대여현황!$A:$A, 0)), "")</f>
        <v/>
      </c>
      <c r="D30" s="20" t="str">
        <f>IF(ISNUMBER(MATCH($A30, 대여현황!$A:$A, 0)), INDEX(대여현황!D:D, MATCH($A30, 대여현황!$A:$A, 0)), "")</f>
        <v/>
      </c>
      <c r="E30" s="22" t="str">
        <f>IF(ISNUMBER(MATCH($A30, 대여현황!$A:$A, 0)), INDEX(대여현황!E:E, MATCH($A30, 대여현황!$A:$A, 0)), "")</f>
        <v/>
      </c>
      <c r="F30" s="22" t="str">
        <f>IF(ISNUMBER(MATCH($A30, 대여현황!$A:$A, 0)), INDEX(대여현황!F:F, MATCH($A30, 대여현황!$A:$A, 0)), "-")</f>
        <v>-</v>
      </c>
    </row>
    <row r="31" spans="1:6" ht="20" customHeight="1">
      <c r="A31" s="20">
        <v>359</v>
      </c>
      <c r="B31" s="21" t="s">
        <v>54</v>
      </c>
      <c r="C31" s="20" t="str">
        <f>IF(ISNUMBER(MATCH($A31, 대여현황!$A:$A, 0)), INDEX(대여현황!C:C, MATCH($A31, 대여현황!$A:$A, 0)), "")</f>
        <v/>
      </c>
      <c r="D31" s="20" t="str">
        <f>IF(ISNUMBER(MATCH($A31, 대여현황!$A:$A, 0)), INDEX(대여현황!D:D, MATCH($A31, 대여현황!$A:$A, 0)), "")</f>
        <v/>
      </c>
      <c r="E31" s="22" t="str">
        <f>IF(ISNUMBER(MATCH($A31, 대여현황!$A:$A, 0)), INDEX(대여현황!E:E, MATCH($A31, 대여현황!$A:$A, 0)), "")</f>
        <v/>
      </c>
      <c r="F31" s="22" t="str">
        <f>IF(ISNUMBER(MATCH($A31, 대여현황!$A:$A, 0)), INDEX(대여현황!F:F, MATCH($A31, 대여현황!$A:$A, 0)), "-")</f>
        <v>-</v>
      </c>
    </row>
    <row r="32" spans="1:6" ht="20" customHeight="1">
      <c r="A32" s="20">
        <v>360</v>
      </c>
      <c r="B32" s="21" t="s">
        <v>127</v>
      </c>
      <c r="C32" s="20" t="str">
        <f>IF(ISNUMBER(MATCH($A32, 대여현황!$A:$A, 0)), INDEX(대여현황!C:C, MATCH($A32, 대여현황!$A:$A, 0)), "")</f>
        <v/>
      </c>
      <c r="D32" s="20" t="str">
        <f>IF(ISNUMBER(MATCH($A32, 대여현황!$A:$A, 0)), INDEX(대여현황!D:D, MATCH($A32, 대여현황!$A:$A, 0)), "")</f>
        <v/>
      </c>
      <c r="E32" s="22" t="str">
        <f>IF(ISNUMBER(MATCH($A32, 대여현황!$A:$A, 0)), INDEX(대여현황!E:E, MATCH($A32, 대여현황!$A:$A, 0)), "")</f>
        <v/>
      </c>
      <c r="F32" s="22" t="str">
        <f>IF(ISNUMBER(MATCH($A32, 대여현황!$A:$A, 0)), INDEX(대여현황!F:F, MATCH($A32, 대여현황!$A:$A, 0)), "-")</f>
        <v>-</v>
      </c>
    </row>
    <row r="33" spans="1:6" ht="20" customHeight="1">
      <c r="A33" s="20">
        <v>361</v>
      </c>
      <c r="B33" s="21" t="s">
        <v>339</v>
      </c>
      <c r="C33" s="20" t="str">
        <f>IF(ISNUMBER(MATCH($A33, 대여현황!$A:$A, 0)), INDEX(대여현황!C:C, MATCH($A33, 대여현황!$A:$A, 0)), "")</f>
        <v/>
      </c>
      <c r="D33" s="20" t="str">
        <f>IF(ISNUMBER(MATCH($A33, 대여현황!$A:$A, 0)), INDEX(대여현황!D:D, MATCH($A33, 대여현황!$A:$A, 0)), "")</f>
        <v/>
      </c>
      <c r="E33" s="22" t="str">
        <f>IF(ISNUMBER(MATCH($A33, 대여현황!$A:$A, 0)), INDEX(대여현황!E:E, MATCH($A33, 대여현황!$A:$A, 0)), "")</f>
        <v/>
      </c>
      <c r="F33" s="22" t="str">
        <f>IF(ISNUMBER(MATCH($A33, 대여현황!$A:$A, 0)), INDEX(대여현황!F:F, MATCH($A33, 대여현황!$A:$A, 0)), "-")</f>
        <v>-</v>
      </c>
    </row>
    <row r="34" spans="1:6" ht="20" customHeight="1">
      <c r="A34" s="20">
        <v>362</v>
      </c>
      <c r="B34" s="21" t="s">
        <v>339</v>
      </c>
      <c r="C34" s="20" t="str">
        <f>IF(ISNUMBER(MATCH($A34, 대여현황!$A:$A, 0)), INDEX(대여현황!C:C, MATCH($A34, 대여현황!$A:$A, 0)), "")</f>
        <v/>
      </c>
      <c r="D34" s="20" t="str">
        <f>IF(ISNUMBER(MATCH($A34, 대여현황!$A:$A, 0)), INDEX(대여현황!D:D, MATCH($A34, 대여현황!$A:$A, 0)), "")</f>
        <v/>
      </c>
      <c r="E34" s="22" t="str">
        <f>IF(ISNUMBER(MATCH($A34, 대여현황!$A:$A, 0)), INDEX(대여현황!E:E, MATCH($A34, 대여현황!$A:$A, 0)), "")</f>
        <v/>
      </c>
      <c r="F34" s="22" t="str">
        <f>IF(ISNUMBER(MATCH($A34, 대여현황!$A:$A, 0)), INDEX(대여현황!F:F, MATCH($A34, 대여현황!$A:$A, 0)), "-")</f>
        <v>-</v>
      </c>
    </row>
    <row r="35" spans="1:6" ht="20" customHeight="1">
      <c r="A35" s="20">
        <v>363</v>
      </c>
      <c r="B35" s="21" t="s">
        <v>334</v>
      </c>
      <c r="C35" s="20" t="str">
        <f>IF(ISNUMBER(MATCH($A35, 대여현황!$A:$A, 0)), INDEX(대여현황!C:C, MATCH($A35, 대여현황!$A:$A, 0)), "")</f>
        <v/>
      </c>
      <c r="D35" s="20" t="str">
        <f>IF(ISNUMBER(MATCH($A35, 대여현황!$A:$A, 0)), INDEX(대여현황!D:D, MATCH($A35, 대여현황!$A:$A, 0)), "")</f>
        <v/>
      </c>
      <c r="E35" s="22" t="str">
        <f>IF(ISNUMBER(MATCH($A35, 대여현황!$A:$A, 0)), INDEX(대여현황!E:E, MATCH($A35, 대여현황!$A:$A, 0)), "")</f>
        <v/>
      </c>
      <c r="F35" s="22" t="str">
        <f>IF(ISNUMBER(MATCH($A35, 대여현황!$A:$A, 0)), INDEX(대여현황!F:F, MATCH($A35, 대여현황!$A:$A, 0)), "-")</f>
        <v>-</v>
      </c>
    </row>
    <row r="36" spans="1:6" ht="20" customHeight="1">
      <c r="A36" s="20">
        <v>364</v>
      </c>
      <c r="B36" s="21" t="s">
        <v>334</v>
      </c>
      <c r="C36" s="20" t="str">
        <f>IF(ISNUMBER(MATCH($A36, 대여현황!$A:$A, 0)), INDEX(대여현황!C:C, MATCH($A36, 대여현황!$A:$A, 0)), "")</f>
        <v/>
      </c>
      <c r="D36" s="20" t="str">
        <f>IF(ISNUMBER(MATCH($A36, 대여현황!$A:$A, 0)), INDEX(대여현황!D:D, MATCH($A36, 대여현황!$A:$A, 0)), "")</f>
        <v/>
      </c>
      <c r="E36" s="22" t="str">
        <f>IF(ISNUMBER(MATCH($A36, 대여현황!$A:$A, 0)), INDEX(대여현황!E:E, MATCH($A36, 대여현황!$A:$A, 0)), "")</f>
        <v/>
      </c>
      <c r="F36" s="22" t="str">
        <f>IF(ISNUMBER(MATCH($A36, 대여현황!$A:$A, 0)), INDEX(대여현황!F:F, MATCH($A36, 대여현황!$A:$A, 0)), "-")</f>
        <v>-</v>
      </c>
    </row>
    <row r="37" spans="1:6" ht="20" customHeight="1">
      <c r="A37" s="20">
        <v>365</v>
      </c>
      <c r="B37" s="21" t="s">
        <v>123</v>
      </c>
      <c r="C37" s="20" t="str">
        <f>IF(ISNUMBER(MATCH($A37, 대여현황!$A:$A, 0)), INDEX(대여현황!C:C, MATCH($A37, 대여현황!$A:$A, 0)), "")</f>
        <v/>
      </c>
      <c r="D37" s="20" t="str">
        <f>IF(ISNUMBER(MATCH($A37, 대여현황!$A:$A, 0)), INDEX(대여현황!D:D, MATCH($A37, 대여현황!$A:$A, 0)), "")</f>
        <v/>
      </c>
      <c r="E37" s="22" t="str">
        <f>IF(ISNUMBER(MATCH($A37, 대여현황!$A:$A, 0)), INDEX(대여현황!E:E, MATCH($A37, 대여현황!$A:$A, 0)), "")</f>
        <v/>
      </c>
      <c r="F37" s="22" t="str">
        <f>IF(ISNUMBER(MATCH($A37, 대여현황!$A:$A, 0)), INDEX(대여현황!F:F, MATCH($A37, 대여현황!$A:$A, 0)), "-")</f>
        <v>-</v>
      </c>
    </row>
    <row r="38" spans="1:6" ht="20" customHeight="1">
      <c r="A38" s="20">
        <v>366</v>
      </c>
      <c r="B38" s="21" t="s">
        <v>123</v>
      </c>
      <c r="C38" s="20" t="str">
        <f>IF(ISNUMBER(MATCH($A38, 대여현황!$A:$A, 0)), INDEX(대여현황!C:C, MATCH($A38, 대여현황!$A:$A, 0)), "")</f>
        <v/>
      </c>
      <c r="D38" s="20" t="str">
        <f>IF(ISNUMBER(MATCH($A38, 대여현황!$A:$A, 0)), INDEX(대여현황!D:D, MATCH($A38, 대여현황!$A:$A, 0)), "")</f>
        <v/>
      </c>
      <c r="E38" s="22" t="str">
        <f>IF(ISNUMBER(MATCH($A38, 대여현황!$A:$A, 0)), INDEX(대여현황!E:E, MATCH($A38, 대여현황!$A:$A, 0)), "")</f>
        <v/>
      </c>
      <c r="F38" s="22" t="str">
        <f>IF(ISNUMBER(MATCH($A38, 대여현황!$A:$A, 0)), INDEX(대여현황!F:F, MATCH($A38, 대여현황!$A:$A, 0)), "-")</f>
        <v>-</v>
      </c>
    </row>
    <row r="39" spans="1:6" ht="20" customHeight="1">
      <c r="A39" s="20">
        <v>367</v>
      </c>
      <c r="B39" s="21" t="s">
        <v>338</v>
      </c>
      <c r="C39" s="20" t="str">
        <f>IF(ISNUMBER(MATCH($A39, 대여현황!$A:$A, 0)), INDEX(대여현황!C:C, MATCH($A39, 대여현황!$A:$A, 0)), "")</f>
        <v/>
      </c>
      <c r="D39" s="20" t="str">
        <f>IF(ISNUMBER(MATCH($A39, 대여현황!$A:$A, 0)), INDEX(대여현황!D:D, MATCH($A39, 대여현황!$A:$A, 0)), "")</f>
        <v/>
      </c>
      <c r="E39" s="22" t="str">
        <f>IF(ISNUMBER(MATCH($A39, 대여현황!$A:$A, 0)), INDEX(대여현황!E:E, MATCH($A39, 대여현황!$A:$A, 0)), "")</f>
        <v/>
      </c>
      <c r="F39" s="22" t="str">
        <f>IF(ISNUMBER(MATCH($A39, 대여현황!$A:$A, 0)), INDEX(대여현황!F:F, MATCH($A39, 대여현황!$A:$A, 0)), "-")</f>
        <v>-</v>
      </c>
    </row>
    <row r="40" spans="1:6" ht="20" customHeight="1">
      <c r="A40" s="20">
        <v>368</v>
      </c>
      <c r="B40" s="21" t="s">
        <v>202</v>
      </c>
      <c r="C40" s="20" t="str">
        <f>IF(ISNUMBER(MATCH($A40, 대여현황!$A:$A, 0)), INDEX(대여현황!C:C, MATCH($A40, 대여현황!$A:$A, 0)), "")</f>
        <v/>
      </c>
      <c r="D40" s="20" t="str">
        <f>IF(ISNUMBER(MATCH($A40, 대여현황!$A:$A, 0)), INDEX(대여현황!D:D, MATCH($A40, 대여현황!$A:$A, 0)), "")</f>
        <v/>
      </c>
      <c r="E40" s="22" t="str">
        <f>IF(ISNUMBER(MATCH($A40, 대여현황!$A:$A, 0)), INDEX(대여현황!E:E, MATCH($A40, 대여현황!$A:$A, 0)), "")</f>
        <v/>
      </c>
      <c r="F40" s="22" t="str">
        <f>IF(ISNUMBER(MATCH($A40, 대여현황!$A:$A, 0)), INDEX(대여현황!F:F, MATCH($A40, 대여현황!$A:$A, 0)), "-")</f>
        <v>-</v>
      </c>
    </row>
    <row r="41" spans="1:6" ht="20" customHeight="1">
      <c r="A41" s="20">
        <v>369</v>
      </c>
      <c r="B41" s="21" t="s">
        <v>342</v>
      </c>
      <c r="C41" s="20" t="str">
        <f>IF(ISNUMBER(MATCH($A41, 대여현황!$A:$A, 0)), INDEX(대여현황!C:C, MATCH($A41, 대여현황!$A:$A, 0)), "")</f>
        <v/>
      </c>
      <c r="D41" s="20" t="str">
        <f>IF(ISNUMBER(MATCH($A41, 대여현황!$A:$A, 0)), INDEX(대여현황!D:D, MATCH($A41, 대여현황!$A:$A, 0)), "")</f>
        <v/>
      </c>
      <c r="E41" s="22" t="str">
        <f>IF(ISNUMBER(MATCH($A41, 대여현황!$A:$A, 0)), INDEX(대여현황!E:E, MATCH($A41, 대여현황!$A:$A, 0)), "")</f>
        <v/>
      </c>
      <c r="F41" s="22" t="str">
        <f>IF(ISNUMBER(MATCH($A41, 대여현황!$A:$A, 0)), INDEX(대여현황!F:F, MATCH($A41, 대여현황!$A:$A, 0)), "-")</f>
        <v>-</v>
      </c>
    </row>
    <row r="42" spans="1:6" ht="20" customHeight="1">
      <c r="A42" s="20">
        <v>370</v>
      </c>
      <c r="B42" s="21" t="s">
        <v>342</v>
      </c>
      <c r="C42" s="20" t="str">
        <f>IF(ISNUMBER(MATCH($A42, 대여현황!$A:$A, 0)), INDEX(대여현황!C:C, MATCH($A42, 대여현황!$A:$A, 0)), "")</f>
        <v/>
      </c>
      <c r="D42" s="20" t="str">
        <f>IF(ISNUMBER(MATCH($A42, 대여현황!$A:$A, 0)), INDEX(대여현황!D:D, MATCH($A42, 대여현황!$A:$A, 0)), "")</f>
        <v/>
      </c>
      <c r="E42" s="22" t="str">
        <f>IF(ISNUMBER(MATCH($A42, 대여현황!$A:$A, 0)), INDEX(대여현황!E:E, MATCH($A42, 대여현황!$A:$A, 0)), "")</f>
        <v/>
      </c>
      <c r="F42" s="22" t="str">
        <f>IF(ISNUMBER(MATCH($A42, 대여현황!$A:$A, 0)), INDEX(대여현황!F:F, MATCH($A42, 대여현황!$A:$A, 0)), "-")</f>
        <v>-</v>
      </c>
    </row>
    <row r="43" spans="1:6" ht="20" customHeight="1">
      <c r="A43" s="20">
        <v>371</v>
      </c>
      <c r="B43" s="21" t="s">
        <v>330</v>
      </c>
      <c r="C43" s="20" t="str">
        <f>IF(ISNUMBER(MATCH($A43, 대여현황!$A:$A, 0)), INDEX(대여현황!C:C, MATCH($A43, 대여현황!$A:$A, 0)), "")</f>
        <v/>
      </c>
      <c r="D43" s="20" t="str">
        <f>IF(ISNUMBER(MATCH($A43, 대여현황!$A:$A, 0)), INDEX(대여현황!D:D, MATCH($A43, 대여현황!$A:$A, 0)), "")</f>
        <v/>
      </c>
      <c r="E43" s="22" t="str">
        <f>IF(ISNUMBER(MATCH($A43, 대여현황!$A:$A, 0)), INDEX(대여현황!E:E, MATCH($A43, 대여현황!$A:$A, 0)), "")</f>
        <v/>
      </c>
      <c r="F43" s="22" t="str">
        <f>IF(ISNUMBER(MATCH($A43, 대여현황!$A:$A, 0)), INDEX(대여현황!F:F, MATCH($A43, 대여현황!$A:$A, 0)), "-")</f>
        <v>-</v>
      </c>
    </row>
    <row r="44" spans="1:6" ht="20" customHeight="1">
      <c r="A44" s="20">
        <v>372</v>
      </c>
      <c r="B44" s="21" t="s">
        <v>330</v>
      </c>
      <c r="C44" s="20" t="str">
        <f>IF(ISNUMBER(MATCH($A44, 대여현황!$A:$A, 0)), INDEX(대여현황!C:C, MATCH($A44, 대여현황!$A:$A, 0)), "")</f>
        <v/>
      </c>
      <c r="D44" s="20" t="str">
        <f>IF(ISNUMBER(MATCH($A44, 대여현황!$A:$A, 0)), INDEX(대여현황!D:D, MATCH($A44, 대여현황!$A:$A, 0)), "")</f>
        <v/>
      </c>
      <c r="E44" s="22" t="str">
        <f>IF(ISNUMBER(MATCH($A44, 대여현황!$A:$A, 0)), INDEX(대여현황!E:E, MATCH($A44, 대여현황!$A:$A, 0)), "")</f>
        <v/>
      </c>
      <c r="F44" s="22" t="str">
        <f>IF(ISNUMBER(MATCH($A44, 대여현황!$A:$A, 0)), INDEX(대여현황!F:F, MATCH($A44, 대여현황!$A:$A, 0)), "-")</f>
        <v>-</v>
      </c>
    </row>
    <row r="45" spans="1:6" ht="20" customHeight="1">
      <c r="A45" s="20">
        <v>373</v>
      </c>
      <c r="B45" s="21" t="s">
        <v>216</v>
      </c>
      <c r="C45" s="20" t="str">
        <f>IF(ISNUMBER(MATCH($A45, 대여현황!$A:$A, 0)), INDEX(대여현황!C:C, MATCH($A45, 대여현황!$A:$A, 0)), "")</f>
        <v/>
      </c>
      <c r="D45" s="20" t="str">
        <f>IF(ISNUMBER(MATCH($A45, 대여현황!$A:$A, 0)), INDEX(대여현황!D:D, MATCH($A45, 대여현황!$A:$A, 0)), "")</f>
        <v/>
      </c>
      <c r="E45" s="22" t="str">
        <f>IF(ISNUMBER(MATCH($A45, 대여현황!$A:$A, 0)), INDEX(대여현황!E:E, MATCH($A45, 대여현황!$A:$A, 0)), "")</f>
        <v/>
      </c>
      <c r="F45" s="22" t="str">
        <f>IF(ISNUMBER(MATCH($A45, 대여현황!$A:$A, 0)), INDEX(대여현황!F:F, MATCH($A45, 대여현황!$A:$A, 0)), "-")</f>
        <v>-</v>
      </c>
    </row>
    <row r="46" spans="1:6" ht="20" customHeight="1">
      <c r="A46" s="20">
        <v>374</v>
      </c>
      <c r="B46" s="21" t="s">
        <v>216</v>
      </c>
      <c r="C46" s="20" t="str">
        <f>IF(ISNUMBER(MATCH($A46, 대여현황!$A:$A, 0)), INDEX(대여현황!C:C, MATCH($A46, 대여현황!$A:$A, 0)), "")</f>
        <v/>
      </c>
      <c r="D46" s="20" t="str">
        <f>IF(ISNUMBER(MATCH($A46, 대여현황!$A:$A, 0)), INDEX(대여현황!D:D, MATCH($A46, 대여현황!$A:$A, 0)), "")</f>
        <v/>
      </c>
      <c r="E46" s="22" t="str">
        <f>IF(ISNUMBER(MATCH($A46, 대여현황!$A:$A, 0)), INDEX(대여현황!E:E, MATCH($A46, 대여현황!$A:$A, 0)), "")</f>
        <v/>
      </c>
      <c r="F46" s="22" t="str">
        <f>IF(ISNUMBER(MATCH($A46, 대여현황!$A:$A, 0)), INDEX(대여현황!F:F, MATCH($A46, 대여현황!$A:$A, 0)), "-")</f>
        <v>-</v>
      </c>
    </row>
    <row r="47" spans="1:6" ht="20" customHeight="1">
      <c r="A47" s="20">
        <v>375</v>
      </c>
      <c r="B47" s="21" t="s">
        <v>120</v>
      </c>
      <c r="C47" s="20" t="str">
        <f>IF(ISNUMBER(MATCH($A47, 대여현황!$A:$A, 0)), INDEX(대여현황!C:C, MATCH($A47, 대여현황!$A:$A, 0)), "")</f>
        <v/>
      </c>
      <c r="D47" s="20" t="str">
        <f>IF(ISNUMBER(MATCH($A47, 대여현황!$A:$A, 0)), INDEX(대여현황!D:D, MATCH($A47, 대여현황!$A:$A, 0)), "")</f>
        <v/>
      </c>
      <c r="E47" s="22" t="str">
        <f>IF(ISNUMBER(MATCH($A47, 대여현황!$A:$A, 0)), INDEX(대여현황!E:E, MATCH($A47, 대여현황!$A:$A, 0)), "")</f>
        <v/>
      </c>
      <c r="F47" s="22" t="str">
        <f>IF(ISNUMBER(MATCH($A47, 대여현황!$A:$A, 0)), INDEX(대여현황!F:F, MATCH($A47, 대여현황!$A:$A, 0)), "-")</f>
        <v>-</v>
      </c>
    </row>
    <row r="48" spans="1:6" ht="20" customHeight="1">
      <c r="A48" s="20">
        <v>376</v>
      </c>
      <c r="B48" s="21" t="s">
        <v>120</v>
      </c>
      <c r="C48" s="20" t="str">
        <f>IF(ISNUMBER(MATCH($A48, 대여현황!$A:$A, 0)), INDEX(대여현황!C:C, MATCH($A48, 대여현황!$A:$A, 0)), "")</f>
        <v/>
      </c>
      <c r="D48" s="20" t="str">
        <f>IF(ISNUMBER(MATCH($A48, 대여현황!$A:$A, 0)), INDEX(대여현황!D:D, MATCH($A48, 대여현황!$A:$A, 0)), "")</f>
        <v/>
      </c>
      <c r="E48" s="22" t="str">
        <f>IF(ISNUMBER(MATCH($A48, 대여현황!$A:$A, 0)), INDEX(대여현황!E:E, MATCH($A48, 대여현황!$A:$A, 0)), "")</f>
        <v/>
      </c>
      <c r="F48" s="22" t="str">
        <f>IF(ISNUMBER(MATCH($A48, 대여현황!$A:$A, 0)), INDEX(대여현황!F:F, MATCH($A48, 대여현황!$A:$A, 0)), "-")</f>
        <v>-</v>
      </c>
    </row>
    <row r="49" spans="1:6" ht="20" customHeight="1">
      <c r="A49" s="20">
        <v>377</v>
      </c>
      <c r="B49" s="21" t="s">
        <v>350</v>
      </c>
      <c r="C49" s="20" t="str">
        <f>IF(ISNUMBER(MATCH($A49, 대여현황!$A:$A, 0)), INDEX(대여현황!C:C, MATCH($A49, 대여현황!$A:$A, 0)), "")</f>
        <v/>
      </c>
      <c r="D49" s="20" t="str">
        <f>IF(ISNUMBER(MATCH($A49, 대여현황!$A:$A, 0)), INDEX(대여현황!D:D, MATCH($A49, 대여현황!$A:$A, 0)), "")</f>
        <v/>
      </c>
      <c r="E49" s="22" t="str">
        <f>IF(ISNUMBER(MATCH($A49, 대여현황!$A:$A, 0)), INDEX(대여현황!E:E, MATCH($A49, 대여현황!$A:$A, 0)), "")</f>
        <v/>
      </c>
      <c r="F49" s="22" t="str">
        <f>IF(ISNUMBER(MATCH($A49, 대여현황!$A:$A, 0)), INDEX(대여현황!F:F, MATCH($A49, 대여현황!$A:$A, 0)), "-")</f>
        <v>-</v>
      </c>
    </row>
    <row r="50" spans="1:6" ht="20" customHeight="1">
      <c r="A50" s="20">
        <v>378</v>
      </c>
      <c r="B50" s="21" t="s">
        <v>350</v>
      </c>
      <c r="C50" s="20" t="str">
        <f>IF(ISNUMBER(MATCH($A50, 대여현황!$A:$A, 0)), INDEX(대여현황!C:C, MATCH($A50, 대여현황!$A:$A, 0)), "")</f>
        <v/>
      </c>
      <c r="D50" s="20" t="str">
        <f>IF(ISNUMBER(MATCH($A50, 대여현황!$A:$A, 0)), INDEX(대여현황!D:D, MATCH($A50, 대여현황!$A:$A, 0)), "")</f>
        <v/>
      </c>
      <c r="E50" s="22" t="str">
        <f>IF(ISNUMBER(MATCH($A50, 대여현황!$A:$A, 0)), INDEX(대여현황!E:E, MATCH($A50, 대여현황!$A:$A, 0)), "")</f>
        <v/>
      </c>
      <c r="F50" s="22" t="str">
        <f>IF(ISNUMBER(MATCH($A50, 대여현황!$A:$A, 0)), INDEX(대여현황!F:F, MATCH($A50, 대여현황!$A:$A, 0)), "-")</f>
        <v>-</v>
      </c>
    </row>
    <row r="51" spans="1:6" ht="20" customHeight="1">
      <c r="A51" s="20">
        <v>379</v>
      </c>
      <c r="B51" s="21" t="s">
        <v>5</v>
      </c>
      <c r="C51" s="20" t="str">
        <f>IF(ISNUMBER(MATCH($A51, 대여현황!$A:$A, 0)), INDEX(대여현황!C:C, MATCH($A51, 대여현황!$A:$A, 0)), "")</f>
        <v/>
      </c>
      <c r="D51" s="20" t="str">
        <f>IF(ISNUMBER(MATCH($A51, 대여현황!$A:$A, 0)), INDEX(대여현황!D:D, MATCH($A51, 대여현황!$A:$A, 0)), "")</f>
        <v/>
      </c>
      <c r="E51" s="22" t="str">
        <f>IF(ISNUMBER(MATCH($A51, 대여현황!$A:$A, 0)), INDEX(대여현황!E:E, MATCH($A51, 대여현황!$A:$A, 0)), "")</f>
        <v/>
      </c>
      <c r="F51" s="22" t="str">
        <f>IF(ISNUMBER(MATCH($A51, 대여현황!$A:$A, 0)), INDEX(대여현황!F:F, MATCH($A51, 대여현황!$A:$A, 0)), "-")</f>
        <v>-</v>
      </c>
    </row>
    <row r="52" spans="1:6" ht="20" customHeight="1">
      <c r="A52" s="20">
        <v>380</v>
      </c>
      <c r="B52" s="21" t="s">
        <v>263</v>
      </c>
      <c r="C52" s="20" t="str">
        <f>IF(ISNUMBER(MATCH($A52, 대여현황!$A:$A, 0)), INDEX(대여현황!C:C, MATCH($A52, 대여현황!$A:$A, 0)), "")</f>
        <v/>
      </c>
      <c r="D52" s="20" t="str">
        <f>IF(ISNUMBER(MATCH($A52, 대여현황!$A:$A, 0)), INDEX(대여현황!D:D, MATCH($A52, 대여현황!$A:$A, 0)), "")</f>
        <v/>
      </c>
      <c r="E52" s="22" t="str">
        <f>IF(ISNUMBER(MATCH($A52, 대여현황!$A:$A, 0)), INDEX(대여현황!E:E, MATCH($A52, 대여현황!$A:$A, 0)), "")</f>
        <v/>
      </c>
      <c r="F52" s="22" t="str">
        <f>IF(ISNUMBER(MATCH($A52, 대여현황!$A:$A, 0)), INDEX(대여현황!F:F, MATCH($A52, 대여현황!$A:$A, 0)), "-")</f>
        <v>-</v>
      </c>
    </row>
    <row r="53" spans="1:6" ht="20" customHeight="1">
      <c r="A53" s="20">
        <v>381</v>
      </c>
      <c r="B53" s="21" t="s">
        <v>254</v>
      </c>
      <c r="C53" s="20" t="str">
        <f>IF(ISNUMBER(MATCH($A53, 대여현황!$A:$A, 0)), INDEX(대여현황!C:C, MATCH($A53, 대여현황!$A:$A, 0)), "")</f>
        <v/>
      </c>
      <c r="D53" s="20" t="str">
        <f>IF(ISNUMBER(MATCH($A53, 대여현황!$A:$A, 0)), INDEX(대여현황!D:D, MATCH($A53, 대여현황!$A:$A, 0)), "")</f>
        <v/>
      </c>
      <c r="E53" s="22" t="str">
        <f>IF(ISNUMBER(MATCH($A53, 대여현황!$A:$A, 0)), INDEX(대여현황!E:E, MATCH($A53, 대여현황!$A:$A, 0)), "")</f>
        <v/>
      </c>
      <c r="F53" s="22" t="str">
        <f>IF(ISNUMBER(MATCH($A53, 대여현황!$A:$A, 0)), INDEX(대여현황!F:F, MATCH($A53, 대여현황!$A:$A, 0)), "-")</f>
        <v>-</v>
      </c>
    </row>
    <row r="54" spans="1:6" ht="20" customHeight="1">
      <c r="A54" s="20">
        <v>382</v>
      </c>
      <c r="B54" s="21" t="s">
        <v>254</v>
      </c>
      <c r="C54" s="20" t="str">
        <f>IF(ISNUMBER(MATCH($A54, 대여현황!$A:$A, 0)), INDEX(대여현황!C:C, MATCH($A54, 대여현황!$A:$A, 0)), "")</f>
        <v/>
      </c>
      <c r="D54" s="20" t="str">
        <f>IF(ISNUMBER(MATCH($A54, 대여현황!$A:$A, 0)), INDEX(대여현황!D:D, MATCH($A54, 대여현황!$A:$A, 0)), "")</f>
        <v/>
      </c>
      <c r="E54" s="22" t="str">
        <f>IF(ISNUMBER(MATCH($A54, 대여현황!$A:$A, 0)), INDEX(대여현황!E:E, MATCH($A54, 대여현황!$A:$A, 0)), "")</f>
        <v/>
      </c>
      <c r="F54" s="22" t="str">
        <f>IF(ISNUMBER(MATCH($A54, 대여현황!$A:$A, 0)), INDEX(대여현황!F:F, MATCH($A54, 대여현황!$A:$A, 0)), "-")</f>
        <v>-</v>
      </c>
    </row>
    <row r="55" spans="1:6" ht="20" customHeight="1">
      <c r="A55" s="20">
        <v>383</v>
      </c>
      <c r="B55" s="21" t="s">
        <v>254</v>
      </c>
      <c r="C55" s="20" t="str">
        <f>IF(ISNUMBER(MATCH($A55, 대여현황!$A:$A, 0)), INDEX(대여현황!C:C, MATCH($A55, 대여현황!$A:$A, 0)), "")</f>
        <v/>
      </c>
      <c r="D55" s="20" t="str">
        <f>IF(ISNUMBER(MATCH($A55, 대여현황!$A:$A, 0)), INDEX(대여현황!D:D, MATCH($A55, 대여현황!$A:$A, 0)), "")</f>
        <v/>
      </c>
      <c r="E55" s="22" t="str">
        <f>IF(ISNUMBER(MATCH($A55, 대여현황!$A:$A, 0)), INDEX(대여현황!E:E, MATCH($A55, 대여현황!$A:$A, 0)), "")</f>
        <v/>
      </c>
      <c r="F55" s="22" t="str">
        <f>IF(ISNUMBER(MATCH($A55, 대여현황!$A:$A, 0)), INDEX(대여현황!F:F, MATCH($A55, 대여현황!$A:$A, 0)), "-")</f>
        <v>-</v>
      </c>
    </row>
    <row r="56" spans="1:6" ht="20" customHeight="1">
      <c r="A56" s="20">
        <v>384</v>
      </c>
      <c r="B56" s="21" t="s">
        <v>254</v>
      </c>
      <c r="C56" s="20" t="str">
        <f>IF(ISNUMBER(MATCH($A56, 대여현황!$A:$A, 0)), INDEX(대여현황!C:C, MATCH($A56, 대여현황!$A:$A, 0)), "")</f>
        <v/>
      </c>
      <c r="D56" s="20" t="str">
        <f>IF(ISNUMBER(MATCH($A56, 대여현황!$A:$A, 0)), INDEX(대여현황!D:D, MATCH($A56, 대여현황!$A:$A, 0)), "")</f>
        <v/>
      </c>
      <c r="E56" s="22" t="str">
        <f>IF(ISNUMBER(MATCH($A56, 대여현황!$A:$A, 0)), INDEX(대여현황!E:E, MATCH($A56, 대여현황!$A:$A, 0)), "")</f>
        <v/>
      </c>
      <c r="F56" s="22" t="str">
        <f>IF(ISNUMBER(MATCH($A56, 대여현황!$A:$A, 0)), INDEX(대여현황!F:F, MATCH($A56, 대여현황!$A:$A, 0)), "-")</f>
        <v>-</v>
      </c>
    </row>
    <row r="57" spans="1:6" ht="20" customHeight="1">
      <c r="A57" s="20">
        <v>385</v>
      </c>
      <c r="B57" s="21" t="s">
        <v>254</v>
      </c>
      <c r="C57" s="20" t="str">
        <f>IF(ISNUMBER(MATCH($A57, 대여현황!$A:$A, 0)), INDEX(대여현황!C:C, MATCH($A57, 대여현황!$A:$A, 0)), "")</f>
        <v/>
      </c>
      <c r="D57" s="20" t="str">
        <f>IF(ISNUMBER(MATCH($A57, 대여현황!$A:$A, 0)), INDEX(대여현황!D:D, MATCH($A57, 대여현황!$A:$A, 0)), "")</f>
        <v/>
      </c>
      <c r="E57" s="22" t="str">
        <f>IF(ISNUMBER(MATCH($A57, 대여현황!$A:$A, 0)), INDEX(대여현황!E:E, MATCH($A57, 대여현황!$A:$A, 0)), "")</f>
        <v/>
      </c>
      <c r="F57" s="22" t="str">
        <f>IF(ISNUMBER(MATCH($A57, 대여현황!$A:$A, 0)), INDEX(대여현황!F:F, MATCH($A57, 대여현황!$A:$A, 0)), "-")</f>
        <v>-</v>
      </c>
    </row>
    <row r="58" spans="1:6" ht="20" customHeight="1">
      <c r="A58" s="20">
        <v>386</v>
      </c>
      <c r="B58" s="21" t="s">
        <v>122</v>
      </c>
      <c r="C58" s="20" t="str">
        <f>IF(ISNUMBER(MATCH($A58, 대여현황!$A:$A, 0)), INDEX(대여현황!C:C, MATCH($A58, 대여현황!$A:$A, 0)), "")</f>
        <v/>
      </c>
      <c r="D58" s="20" t="str">
        <f>IF(ISNUMBER(MATCH($A58, 대여현황!$A:$A, 0)), INDEX(대여현황!D:D, MATCH($A58, 대여현황!$A:$A, 0)), "")</f>
        <v/>
      </c>
      <c r="E58" s="22" t="str">
        <f>IF(ISNUMBER(MATCH($A58, 대여현황!$A:$A, 0)), INDEX(대여현황!E:E, MATCH($A58, 대여현황!$A:$A, 0)), "")</f>
        <v/>
      </c>
      <c r="F58" s="22" t="str">
        <f>IF(ISNUMBER(MATCH($A58, 대여현황!$A:$A, 0)), INDEX(대여현황!F:F, MATCH($A58, 대여현황!$A:$A, 0)), "-")</f>
        <v>-</v>
      </c>
    </row>
    <row r="59" spans="1:6" ht="20" customHeight="1">
      <c r="A59" s="20">
        <v>387</v>
      </c>
      <c r="B59" s="21" t="s">
        <v>122</v>
      </c>
      <c r="C59" s="20" t="str">
        <f>IF(ISNUMBER(MATCH($A59, 대여현황!$A:$A, 0)), INDEX(대여현황!C:C, MATCH($A59, 대여현황!$A:$A, 0)), "")</f>
        <v/>
      </c>
      <c r="D59" s="20" t="str">
        <f>IF(ISNUMBER(MATCH($A59, 대여현황!$A:$A, 0)), INDEX(대여현황!D:D, MATCH($A59, 대여현황!$A:$A, 0)), "")</f>
        <v/>
      </c>
      <c r="E59" s="22" t="str">
        <f>IF(ISNUMBER(MATCH($A59, 대여현황!$A:$A, 0)), INDEX(대여현황!E:E, MATCH($A59, 대여현황!$A:$A, 0)), "")</f>
        <v/>
      </c>
      <c r="F59" s="22" t="str">
        <f>IF(ISNUMBER(MATCH($A59, 대여현황!$A:$A, 0)), INDEX(대여현황!F:F, MATCH($A59, 대여현황!$A:$A, 0)), "-")</f>
        <v>-</v>
      </c>
    </row>
    <row r="60" spans="1:6" ht="20" customHeight="1">
      <c r="A60" s="20">
        <v>388</v>
      </c>
      <c r="B60" s="21" t="s">
        <v>119</v>
      </c>
      <c r="C60" s="20" t="str">
        <f>IF(ISNUMBER(MATCH($A60, 대여현황!$A:$A, 0)), INDEX(대여현황!C:C, MATCH($A60, 대여현황!$A:$A, 0)), "")</f>
        <v/>
      </c>
      <c r="D60" s="20" t="str">
        <f>IF(ISNUMBER(MATCH($A60, 대여현황!$A:$A, 0)), INDEX(대여현황!D:D, MATCH($A60, 대여현황!$A:$A, 0)), "")</f>
        <v/>
      </c>
      <c r="E60" s="22" t="str">
        <f>IF(ISNUMBER(MATCH($A60, 대여현황!$A:$A, 0)), INDEX(대여현황!E:E, MATCH($A60, 대여현황!$A:$A, 0)), "")</f>
        <v/>
      </c>
      <c r="F60" s="22" t="str">
        <f>IF(ISNUMBER(MATCH($A60, 대여현황!$A:$A, 0)), INDEX(대여현황!F:F, MATCH($A60, 대여현황!$A:$A, 0)), "-")</f>
        <v>-</v>
      </c>
    </row>
    <row r="61" spans="1:6" ht="20" customHeight="1">
      <c r="A61" s="20">
        <v>389</v>
      </c>
      <c r="B61" s="21" t="s">
        <v>210</v>
      </c>
      <c r="C61" s="20" t="str">
        <f>IF(ISNUMBER(MATCH($A61, 대여현황!$A:$A, 0)), INDEX(대여현황!C:C, MATCH($A61, 대여현황!$A:$A, 0)), "")</f>
        <v/>
      </c>
      <c r="D61" s="20" t="str">
        <f>IF(ISNUMBER(MATCH($A61, 대여현황!$A:$A, 0)), INDEX(대여현황!D:D, MATCH($A61, 대여현황!$A:$A, 0)), "")</f>
        <v/>
      </c>
      <c r="E61" s="22" t="str">
        <f>IF(ISNUMBER(MATCH($A61, 대여현황!$A:$A, 0)), INDEX(대여현황!E:E, MATCH($A61, 대여현황!$A:$A, 0)), "")</f>
        <v/>
      </c>
      <c r="F61" s="22" t="str">
        <f>IF(ISNUMBER(MATCH($A61, 대여현황!$A:$A, 0)), INDEX(대여현황!F:F, MATCH($A61, 대여현황!$A:$A, 0)), "-")</f>
        <v>-</v>
      </c>
    </row>
    <row r="62" spans="1:6" ht="20" customHeight="1">
      <c r="A62" s="20">
        <v>390</v>
      </c>
      <c r="B62" s="21" t="s">
        <v>228</v>
      </c>
      <c r="C62" s="20" t="str">
        <f>IF(ISNUMBER(MATCH($A62, 대여현황!$A:$A, 0)), INDEX(대여현황!C:C, MATCH($A62, 대여현황!$A:$A, 0)), "")</f>
        <v/>
      </c>
      <c r="D62" s="20" t="str">
        <f>IF(ISNUMBER(MATCH($A62, 대여현황!$A:$A, 0)), INDEX(대여현황!D:D, MATCH($A62, 대여현황!$A:$A, 0)), "")</f>
        <v/>
      </c>
      <c r="E62" s="22" t="str">
        <f>IF(ISNUMBER(MATCH($A62, 대여현황!$A:$A, 0)), INDEX(대여현황!E:E, MATCH($A62, 대여현황!$A:$A, 0)), "")</f>
        <v/>
      </c>
      <c r="F62" s="22" t="str">
        <f>IF(ISNUMBER(MATCH($A62, 대여현황!$A:$A, 0)), INDEX(대여현황!F:F, MATCH($A62, 대여현황!$A:$A, 0)), "-")</f>
        <v>-</v>
      </c>
    </row>
    <row r="63" spans="1:6" ht="20" customHeight="1">
      <c r="A63" s="20">
        <v>391</v>
      </c>
      <c r="B63" s="21" t="s">
        <v>337</v>
      </c>
      <c r="C63" s="20" t="str">
        <f>IF(ISNUMBER(MATCH($A63, 대여현황!$A:$A, 0)), INDEX(대여현황!C:C, MATCH($A63, 대여현황!$A:$A, 0)), "")</f>
        <v/>
      </c>
      <c r="D63" s="20" t="str">
        <f>IF(ISNUMBER(MATCH($A63, 대여현황!$A:$A, 0)), INDEX(대여현황!D:D, MATCH($A63, 대여현황!$A:$A, 0)), "")</f>
        <v/>
      </c>
      <c r="E63" s="22" t="str">
        <f>IF(ISNUMBER(MATCH($A63, 대여현황!$A:$A, 0)), INDEX(대여현황!E:E, MATCH($A63, 대여현황!$A:$A, 0)), "")</f>
        <v/>
      </c>
      <c r="F63" s="22" t="str">
        <f>IF(ISNUMBER(MATCH($A63, 대여현황!$A:$A, 0)), INDEX(대여현황!F:F, MATCH($A63, 대여현황!$A:$A, 0)), "-")</f>
        <v>-</v>
      </c>
    </row>
    <row r="64" spans="1:6" ht="20" customHeight="1">
      <c r="A64" s="20">
        <v>392</v>
      </c>
      <c r="B64" s="21" t="s">
        <v>337</v>
      </c>
      <c r="C64" s="20" t="str">
        <f>IF(ISNUMBER(MATCH($A64, 대여현황!$A:$A, 0)), INDEX(대여현황!C:C, MATCH($A64, 대여현황!$A:$A, 0)), "")</f>
        <v/>
      </c>
      <c r="D64" s="20" t="str">
        <f>IF(ISNUMBER(MATCH($A64, 대여현황!$A:$A, 0)), INDEX(대여현황!D:D, MATCH($A64, 대여현황!$A:$A, 0)), "")</f>
        <v/>
      </c>
      <c r="E64" s="22" t="str">
        <f>IF(ISNUMBER(MATCH($A64, 대여현황!$A:$A, 0)), INDEX(대여현황!E:E, MATCH($A64, 대여현황!$A:$A, 0)), "")</f>
        <v/>
      </c>
      <c r="F64" s="22" t="str">
        <f>IF(ISNUMBER(MATCH($A64, 대여현황!$A:$A, 0)), INDEX(대여현황!F:F, MATCH($A64, 대여현황!$A:$A, 0)), "-")</f>
        <v>-</v>
      </c>
    </row>
    <row r="65" spans="1:6" ht="20" customHeight="1">
      <c r="A65" s="20">
        <v>393</v>
      </c>
      <c r="B65" s="21" t="s">
        <v>335</v>
      </c>
      <c r="C65" s="20" t="str">
        <f>IF(ISNUMBER(MATCH($A65, 대여현황!$A:$A, 0)), INDEX(대여현황!C:C, MATCH($A65, 대여현황!$A:$A, 0)), "")</f>
        <v/>
      </c>
      <c r="D65" s="20" t="str">
        <f>IF(ISNUMBER(MATCH($A65, 대여현황!$A:$A, 0)), INDEX(대여현황!D:D, MATCH($A65, 대여현황!$A:$A, 0)), "")</f>
        <v/>
      </c>
      <c r="E65" s="22" t="str">
        <f>IF(ISNUMBER(MATCH($A65, 대여현황!$A:$A, 0)), INDEX(대여현황!E:E, MATCH($A65, 대여현황!$A:$A, 0)), "")</f>
        <v/>
      </c>
      <c r="F65" s="22" t="str">
        <f>IF(ISNUMBER(MATCH($A65, 대여현황!$A:$A, 0)), INDEX(대여현황!F:F, MATCH($A65, 대여현황!$A:$A, 0)), "-")</f>
        <v>-</v>
      </c>
    </row>
    <row r="66" spans="1:6" ht="20" customHeight="1">
      <c r="A66" s="20">
        <v>394</v>
      </c>
      <c r="B66" s="21" t="s">
        <v>99</v>
      </c>
      <c r="C66" s="20" t="str">
        <f>IF(ISNUMBER(MATCH($A66, 대여현황!$A:$A, 0)), INDEX(대여현황!C:C, MATCH($A66, 대여현황!$A:$A, 0)), "")</f>
        <v/>
      </c>
      <c r="D66" s="20" t="str">
        <f>IF(ISNUMBER(MATCH($A66, 대여현황!$A:$A, 0)), INDEX(대여현황!D:D, MATCH($A66, 대여현황!$A:$A, 0)), "")</f>
        <v/>
      </c>
      <c r="E66" s="22" t="str">
        <f>IF(ISNUMBER(MATCH($A66, 대여현황!$A:$A, 0)), INDEX(대여현황!E:E, MATCH($A66, 대여현황!$A:$A, 0)), "")</f>
        <v/>
      </c>
      <c r="F66" s="22" t="str">
        <f>IF(ISNUMBER(MATCH($A66, 대여현황!$A:$A, 0)), INDEX(대여현황!F:F, MATCH($A66, 대여현황!$A:$A, 0)), "-")</f>
        <v>-</v>
      </c>
    </row>
    <row r="67" spans="1:6" ht="20" customHeight="1">
      <c r="A67" s="20">
        <v>395</v>
      </c>
      <c r="B67" s="21" t="s">
        <v>79</v>
      </c>
      <c r="C67" s="20" t="str">
        <f>IF(ISNUMBER(MATCH($A67, 대여현황!$A:$A, 0)), INDEX(대여현황!C:C, MATCH($A67, 대여현황!$A:$A, 0)), "")</f>
        <v/>
      </c>
      <c r="D67" s="20" t="str">
        <f>IF(ISNUMBER(MATCH($A67, 대여현황!$A:$A, 0)), INDEX(대여현황!D:D, MATCH($A67, 대여현황!$A:$A, 0)), "")</f>
        <v/>
      </c>
      <c r="E67" s="22" t="str">
        <f>IF(ISNUMBER(MATCH($A67, 대여현황!$A:$A, 0)), INDEX(대여현황!E:E, MATCH($A67, 대여현황!$A:$A, 0)), "")</f>
        <v/>
      </c>
      <c r="F67" s="22" t="str">
        <f>IF(ISNUMBER(MATCH($A67, 대여현황!$A:$A, 0)), INDEX(대여현황!F:F, MATCH($A67, 대여현황!$A:$A, 0)), "-")</f>
        <v>-</v>
      </c>
    </row>
    <row r="68" spans="1:6" ht="20" customHeight="1">
      <c r="A68" s="20">
        <v>396</v>
      </c>
      <c r="B68" s="21" t="s">
        <v>96</v>
      </c>
      <c r="C68" s="20" t="str">
        <f>IF(ISNUMBER(MATCH($A68, 대여현황!$A:$A, 0)), INDEX(대여현황!C:C, MATCH($A68, 대여현황!$A:$A, 0)), "")</f>
        <v/>
      </c>
      <c r="D68" s="20" t="str">
        <f>IF(ISNUMBER(MATCH($A68, 대여현황!$A:$A, 0)), INDEX(대여현황!D:D, MATCH($A68, 대여현황!$A:$A, 0)), "")</f>
        <v/>
      </c>
      <c r="E68" s="22" t="str">
        <f>IF(ISNUMBER(MATCH($A68, 대여현황!$A:$A, 0)), INDEX(대여현황!E:E, MATCH($A68, 대여현황!$A:$A, 0)), "")</f>
        <v/>
      </c>
      <c r="F68" s="22" t="str">
        <f>IF(ISNUMBER(MATCH($A68, 대여현황!$A:$A, 0)), INDEX(대여현황!F:F, MATCH($A68, 대여현황!$A:$A, 0)), "-")</f>
        <v>-</v>
      </c>
    </row>
    <row r="69" spans="1:6" ht="20" customHeight="1">
      <c r="A69" s="20">
        <v>397</v>
      </c>
      <c r="B69" s="21" t="s">
        <v>78</v>
      </c>
      <c r="C69" s="20" t="str">
        <f>IF(ISNUMBER(MATCH($A69, 대여현황!$A:$A, 0)), INDEX(대여현황!C:C, MATCH($A69, 대여현황!$A:$A, 0)), "")</f>
        <v/>
      </c>
      <c r="D69" s="20" t="str">
        <f>IF(ISNUMBER(MATCH($A69, 대여현황!$A:$A, 0)), INDEX(대여현황!D:D, MATCH($A69, 대여현황!$A:$A, 0)), "")</f>
        <v/>
      </c>
      <c r="E69" s="22" t="str">
        <f>IF(ISNUMBER(MATCH($A69, 대여현황!$A:$A, 0)), INDEX(대여현황!E:E, MATCH($A69, 대여현황!$A:$A, 0)), "")</f>
        <v/>
      </c>
      <c r="F69" s="22" t="str">
        <f>IF(ISNUMBER(MATCH($A69, 대여현황!$A:$A, 0)), INDEX(대여현황!F:F, MATCH($A69, 대여현황!$A:$A, 0)), "-")</f>
        <v>-</v>
      </c>
    </row>
    <row r="70" spans="1:6" ht="20" customHeight="1">
      <c r="A70" s="20">
        <v>398</v>
      </c>
      <c r="B70" s="21" t="s">
        <v>92</v>
      </c>
      <c r="C70" s="20" t="str">
        <f>IF(ISNUMBER(MATCH($A70, 대여현황!$A:$A, 0)), INDEX(대여현황!C:C, MATCH($A70, 대여현황!$A:$A, 0)), "")</f>
        <v/>
      </c>
      <c r="D70" s="20" t="str">
        <f>IF(ISNUMBER(MATCH($A70, 대여현황!$A:$A, 0)), INDEX(대여현황!D:D, MATCH($A70, 대여현황!$A:$A, 0)), "")</f>
        <v/>
      </c>
      <c r="E70" s="22" t="str">
        <f>IF(ISNUMBER(MATCH($A70, 대여현황!$A:$A, 0)), INDEX(대여현황!E:E, MATCH($A70, 대여현황!$A:$A, 0)), "")</f>
        <v/>
      </c>
      <c r="F70" s="22" t="str">
        <f>IF(ISNUMBER(MATCH($A70, 대여현황!$A:$A, 0)), INDEX(대여현황!F:F, MATCH($A70, 대여현황!$A:$A, 0)), "-")</f>
        <v>-</v>
      </c>
    </row>
    <row r="71" spans="1:6" ht="20" customHeight="1">
      <c r="A71" s="20">
        <v>399</v>
      </c>
      <c r="B71" s="21" t="s">
        <v>95</v>
      </c>
      <c r="C71" s="20" t="str">
        <f>IF(ISNUMBER(MATCH($A71, 대여현황!$A:$A, 0)), INDEX(대여현황!C:C, MATCH($A71, 대여현황!$A:$A, 0)), "")</f>
        <v/>
      </c>
      <c r="D71" s="20" t="str">
        <f>IF(ISNUMBER(MATCH($A71, 대여현황!$A:$A, 0)), INDEX(대여현황!D:D, MATCH($A71, 대여현황!$A:$A, 0)), "")</f>
        <v/>
      </c>
      <c r="E71" s="22" t="str">
        <f>IF(ISNUMBER(MATCH($A71, 대여현황!$A:$A, 0)), INDEX(대여현황!E:E, MATCH($A71, 대여현황!$A:$A, 0)), "")</f>
        <v/>
      </c>
      <c r="F71" s="22" t="str">
        <f>IF(ISNUMBER(MATCH($A71, 대여현황!$A:$A, 0)), INDEX(대여현황!F:F, MATCH($A71, 대여현황!$A:$A, 0)), "-")</f>
        <v>-</v>
      </c>
    </row>
    <row r="72" spans="1:6" ht="20" customHeight="1">
      <c r="A72" s="20">
        <v>400</v>
      </c>
      <c r="B72" s="21" t="s">
        <v>145</v>
      </c>
      <c r="C72" s="20" t="str">
        <f>IF(ISNUMBER(MATCH($A72, 대여현황!$A:$A, 0)), INDEX(대여현황!C:C, MATCH($A72, 대여현황!$A:$A, 0)), "")</f>
        <v/>
      </c>
      <c r="D72" s="20" t="str">
        <f>IF(ISNUMBER(MATCH($A72, 대여현황!$A:$A, 0)), INDEX(대여현황!D:D, MATCH($A72, 대여현황!$A:$A, 0)), "")</f>
        <v/>
      </c>
      <c r="E72" s="22" t="str">
        <f>IF(ISNUMBER(MATCH($A72, 대여현황!$A:$A, 0)), INDEX(대여현황!E:E, MATCH($A72, 대여현황!$A:$A, 0)), "")</f>
        <v/>
      </c>
      <c r="F72" s="22" t="str">
        <f>IF(ISNUMBER(MATCH($A72, 대여현황!$A:$A, 0)), INDEX(대여현황!F:F, MATCH($A72, 대여현황!$A:$A, 0)), "-")</f>
        <v>-</v>
      </c>
    </row>
    <row r="73" spans="1:6" ht="20" customHeight="1">
      <c r="A73" s="20">
        <v>401</v>
      </c>
      <c r="B73" s="21" t="s">
        <v>359</v>
      </c>
      <c r="C73" s="20" t="str">
        <f>IF(ISNUMBER(MATCH($A73, 대여현황!$A:$A, 0)), INDEX(대여현황!C:C, MATCH($A73, 대여현황!$A:$A, 0)), "")</f>
        <v/>
      </c>
      <c r="D73" s="20" t="str">
        <f>IF(ISNUMBER(MATCH($A73, 대여현황!$A:$A, 0)), INDEX(대여현황!D:D, MATCH($A73, 대여현황!$A:$A, 0)), "")</f>
        <v/>
      </c>
      <c r="E73" s="22" t="str">
        <f>IF(ISNUMBER(MATCH($A73, 대여현황!$A:$A, 0)), INDEX(대여현황!E:E, MATCH($A73, 대여현황!$A:$A, 0)), "")</f>
        <v/>
      </c>
      <c r="F73" s="22" t="str">
        <f>IF(ISNUMBER(MATCH($A73, 대여현황!$A:$A, 0)), INDEX(대여현황!F:F, MATCH($A73, 대여현황!$A:$A, 0)), "-")</f>
        <v>-</v>
      </c>
    </row>
    <row r="74" spans="1:6" ht="20" customHeight="1">
      <c r="A74" s="20">
        <v>402</v>
      </c>
      <c r="B74" s="21" t="s">
        <v>359</v>
      </c>
      <c r="C74" s="20" t="str">
        <f>IF(ISNUMBER(MATCH($A74, 대여현황!$A:$A, 0)), INDEX(대여현황!C:C, MATCH($A74, 대여현황!$A:$A, 0)), "")</f>
        <v/>
      </c>
      <c r="D74" s="20" t="str">
        <f>IF(ISNUMBER(MATCH($A74, 대여현황!$A:$A, 0)), INDEX(대여현황!D:D, MATCH($A74, 대여현황!$A:$A, 0)), "")</f>
        <v/>
      </c>
      <c r="E74" s="22" t="str">
        <f>IF(ISNUMBER(MATCH($A74, 대여현황!$A:$A, 0)), INDEX(대여현황!E:E, MATCH($A74, 대여현황!$A:$A, 0)), "")</f>
        <v/>
      </c>
      <c r="F74" s="22" t="str">
        <f>IF(ISNUMBER(MATCH($A74, 대여현황!$A:$A, 0)), INDEX(대여현황!F:F, MATCH($A74, 대여현황!$A:$A, 0)), "-")</f>
        <v>-</v>
      </c>
    </row>
    <row r="75" spans="1:6" ht="20" customHeight="1">
      <c r="A75" s="20">
        <v>403</v>
      </c>
      <c r="B75" s="21" t="s">
        <v>53</v>
      </c>
      <c r="C75" s="20" t="str">
        <f>IF(ISNUMBER(MATCH($A75, 대여현황!$A:$A, 0)), INDEX(대여현황!C:C, MATCH($A75, 대여현황!$A:$A, 0)), "")</f>
        <v/>
      </c>
      <c r="D75" s="20" t="str">
        <f>IF(ISNUMBER(MATCH($A75, 대여현황!$A:$A, 0)), INDEX(대여현황!D:D, MATCH($A75, 대여현황!$A:$A, 0)), "")</f>
        <v/>
      </c>
      <c r="E75" s="22" t="str">
        <f>IF(ISNUMBER(MATCH($A75, 대여현황!$A:$A, 0)), INDEX(대여현황!E:E, MATCH($A75, 대여현황!$A:$A, 0)), "")</f>
        <v/>
      </c>
      <c r="F75" s="22" t="str">
        <f>IF(ISNUMBER(MATCH($A75, 대여현황!$A:$A, 0)), INDEX(대여현황!F:F, MATCH($A75, 대여현황!$A:$A, 0)), "-")</f>
        <v>-</v>
      </c>
    </row>
    <row r="76" spans="1:6" ht="20" customHeight="1">
      <c r="A76" s="20">
        <v>404</v>
      </c>
      <c r="B76" s="21" t="s">
        <v>53</v>
      </c>
      <c r="C76" s="20" t="str">
        <f>IF(ISNUMBER(MATCH($A76, 대여현황!$A:$A, 0)), INDEX(대여현황!C:C, MATCH($A76, 대여현황!$A:$A, 0)), "")</f>
        <v/>
      </c>
      <c r="D76" s="20" t="str">
        <f>IF(ISNUMBER(MATCH($A76, 대여현황!$A:$A, 0)), INDEX(대여현황!D:D, MATCH($A76, 대여현황!$A:$A, 0)), "")</f>
        <v/>
      </c>
      <c r="E76" s="22" t="str">
        <f>IF(ISNUMBER(MATCH($A76, 대여현황!$A:$A, 0)), INDEX(대여현황!E:E, MATCH($A76, 대여현황!$A:$A, 0)), "")</f>
        <v/>
      </c>
      <c r="F76" s="22" t="str">
        <f>IF(ISNUMBER(MATCH($A76, 대여현황!$A:$A, 0)), INDEX(대여현황!F:F, MATCH($A76, 대여현황!$A:$A, 0)), "-")</f>
        <v>-</v>
      </c>
    </row>
    <row r="77" spans="1:6" ht="20" customHeight="1">
      <c r="A77" s="20">
        <v>405</v>
      </c>
      <c r="B77" s="21" t="s">
        <v>71</v>
      </c>
      <c r="C77" s="20" t="str">
        <f>IF(ISNUMBER(MATCH($A77, 대여현황!$A:$A, 0)), INDEX(대여현황!C:C, MATCH($A77, 대여현황!$A:$A, 0)), "")</f>
        <v/>
      </c>
      <c r="D77" s="20" t="str">
        <f>IF(ISNUMBER(MATCH($A77, 대여현황!$A:$A, 0)), INDEX(대여현황!D:D, MATCH($A77, 대여현황!$A:$A, 0)), "")</f>
        <v/>
      </c>
      <c r="E77" s="22" t="str">
        <f>IF(ISNUMBER(MATCH($A77, 대여현황!$A:$A, 0)), INDEX(대여현황!E:E, MATCH($A77, 대여현황!$A:$A, 0)), "")</f>
        <v/>
      </c>
      <c r="F77" s="22" t="str">
        <f>IF(ISNUMBER(MATCH($A77, 대여현황!$A:$A, 0)), INDEX(대여현황!F:F, MATCH($A77, 대여현황!$A:$A, 0)), "-")</f>
        <v>-</v>
      </c>
    </row>
    <row r="78" spans="1:6" ht="20" customHeight="1">
      <c r="A78" s="20">
        <v>406</v>
      </c>
      <c r="B78" s="21" t="s">
        <v>71</v>
      </c>
      <c r="C78" s="20" t="str">
        <f>IF(ISNUMBER(MATCH($A78, 대여현황!$A:$A, 0)), INDEX(대여현황!C:C, MATCH($A78, 대여현황!$A:$A, 0)), "")</f>
        <v/>
      </c>
      <c r="D78" s="20" t="str">
        <f>IF(ISNUMBER(MATCH($A78, 대여현황!$A:$A, 0)), INDEX(대여현황!D:D, MATCH($A78, 대여현황!$A:$A, 0)), "")</f>
        <v/>
      </c>
      <c r="E78" s="22" t="str">
        <f>IF(ISNUMBER(MATCH($A78, 대여현황!$A:$A, 0)), INDEX(대여현황!E:E, MATCH($A78, 대여현황!$A:$A, 0)), "")</f>
        <v/>
      </c>
      <c r="F78" s="22" t="str">
        <f>IF(ISNUMBER(MATCH($A78, 대여현황!$A:$A, 0)), INDEX(대여현황!F:F, MATCH($A78, 대여현황!$A:$A, 0)), "-")</f>
        <v>-</v>
      </c>
    </row>
    <row r="79" spans="1:6" ht="20" customHeight="1">
      <c r="A79" s="20">
        <v>407</v>
      </c>
      <c r="B79" s="21" t="s">
        <v>360</v>
      </c>
      <c r="C79" s="20" t="str">
        <f>IF(ISNUMBER(MATCH($A79, 대여현황!$A:$A, 0)), INDEX(대여현황!C:C, MATCH($A79, 대여현황!$A:$A, 0)), "")</f>
        <v/>
      </c>
      <c r="D79" s="20" t="str">
        <f>IF(ISNUMBER(MATCH($A79, 대여현황!$A:$A, 0)), INDEX(대여현황!D:D, MATCH($A79, 대여현황!$A:$A, 0)), "")</f>
        <v/>
      </c>
      <c r="E79" s="22" t="str">
        <f>IF(ISNUMBER(MATCH($A79, 대여현황!$A:$A, 0)), INDEX(대여현황!E:E, MATCH($A79, 대여현황!$A:$A, 0)), "")</f>
        <v/>
      </c>
      <c r="F79" s="22" t="str">
        <f>IF(ISNUMBER(MATCH($A79, 대여현황!$A:$A, 0)), INDEX(대여현황!F:F, MATCH($A79, 대여현황!$A:$A, 0)), "-")</f>
        <v>-</v>
      </c>
    </row>
    <row r="80" spans="1:6" ht="20" customHeight="1">
      <c r="A80" s="20">
        <v>408</v>
      </c>
      <c r="B80" s="21" t="s">
        <v>235</v>
      </c>
      <c r="C80" s="20" t="str">
        <f>IF(ISNUMBER(MATCH($A80, 대여현황!$A:$A, 0)), INDEX(대여현황!C:C, MATCH($A80, 대여현황!$A:$A, 0)), "")</f>
        <v/>
      </c>
      <c r="D80" s="20" t="str">
        <f>IF(ISNUMBER(MATCH($A80, 대여현황!$A:$A, 0)), INDEX(대여현황!D:D, MATCH($A80, 대여현황!$A:$A, 0)), "")</f>
        <v/>
      </c>
      <c r="E80" s="22" t="str">
        <f>IF(ISNUMBER(MATCH($A80, 대여현황!$A:$A, 0)), INDEX(대여현황!E:E, MATCH($A80, 대여현황!$A:$A, 0)), "")</f>
        <v/>
      </c>
      <c r="F80" s="22" t="str">
        <f>IF(ISNUMBER(MATCH($A80, 대여현황!$A:$A, 0)), INDEX(대여현황!F:F, MATCH($A80, 대여현황!$A:$A, 0)), "-")</f>
        <v>-</v>
      </c>
    </row>
    <row r="81" spans="1:6" ht="20" customHeight="1">
      <c r="A81" s="20">
        <v>409</v>
      </c>
      <c r="B81" s="21" t="s">
        <v>235</v>
      </c>
      <c r="C81" s="20" t="str">
        <f>IF(ISNUMBER(MATCH($A81, 대여현황!$A:$A, 0)), INDEX(대여현황!C:C, MATCH($A81, 대여현황!$A:$A, 0)), "")</f>
        <v/>
      </c>
      <c r="D81" s="20" t="str">
        <f>IF(ISNUMBER(MATCH($A81, 대여현황!$A:$A, 0)), INDEX(대여현황!D:D, MATCH($A81, 대여현황!$A:$A, 0)), "")</f>
        <v/>
      </c>
      <c r="E81" s="22" t="str">
        <f>IF(ISNUMBER(MATCH($A81, 대여현황!$A:$A, 0)), INDEX(대여현황!E:E, MATCH($A81, 대여현황!$A:$A, 0)), "")</f>
        <v/>
      </c>
      <c r="F81" s="22" t="str">
        <f>IF(ISNUMBER(MATCH($A81, 대여현황!$A:$A, 0)), INDEX(대여현황!F:F, MATCH($A81, 대여현황!$A:$A, 0)), "-")</f>
        <v>-</v>
      </c>
    </row>
    <row r="82" spans="1:6" ht="20" customHeight="1">
      <c r="A82" s="20">
        <v>410</v>
      </c>
      <c r="B82" s="21" t="s">
        <v>230</v>
      </c>
      <c r="C82" s="20" t="str">
        <f>IF(ISNUMBER(MATCH($A82, 대여현황!$A:$A, 0)), INDEX(대여현황!C:C, MATCH($A82, 대여현황!$A:$A, 0)), "")</f>
        <v/>
      </c>
      <c r="D82" s="20" t="str">
        <f>IF(ISNUMBER(MATCH($A82, 대여현황!$A:$A, 0)), INDEX(대여현황!D:D, MATCH($A82, 대여현황!$A:$A, 0)), "")</f>
        <v/>
      </c>
      <c r="E82" s="22" t="str">
        <f>IF(ISNUMBER(MATCH($A82, 대여현황!$A:$A, 0)), INDEX(대여현황!E:E, MATCH($A82, 대여현황!$A:$A, 0)), "")</f>
        <v/>
      </c>
      <c r="F82" s="22" t="str">
        <f>IF(ISNUMBER(MATCH($A82, 대여현황!$A:$A, 0)), INDEX(대여현황!F:F, MATCH($A82, 대여현황!$A:$A, 0)), "-")</f>
        <v>-</v>
      </c>
    </row>
    <row r="83" spans="1:6" ht="20" customHeight="1">
      <c r="A83" s="20">
        <v>411</v>
      </c>
      <c r="B83" s="21" t="s">
        <v>238</v>
      </c>
      <c r="C83" s="20" t="str">
        <f>IF(ISNUMBER(MATCH($A83, 대여현황!$A:$A, 0)), INDEX(대여현황!C:C, MATCH($A83, 대여현황!$A:$A, 0)), "")</f>
        <v/>
      </c>
      <c r="D83" s="20" t="str">
        <f>IF(ISNUMBER(MATCH($A83, 대여현황!$A:$A, 0)), INDEX(대여현황!D:D, MATCH($A83, 대여현황!$A:$A, 0)), "")</f>
        <v/>
      </c>
      <c r="E83" s="22" t="str">
        <f>IF(ISNUMBER(MATCH($A83, 대여현황!$A:$A, 0)), INDEX(대여현황!E:E, MATCH($A83, 대여현황!$A:$A, 0)), "")</f>
        <v/>
      </c>
      <c r="F83" s="22" t="str">
        <f>IF(ISNUMBER(MATCH($A83, 대여현황!$A:$A, 0)), INDEX(대여현황!F:F, MATCH($A83, 대여현황!$A:$A, 0)), "-")</f>
        <v>-</v>
      </c>
    </row>
    <row r="84" spans="1:6" ht="20" customHeight="1">
      <c r="A84" s="20">
        <v>412</v>
      </c>
      <c r="B84" s="21" t="s">
        <v>74</v>
      </c>
      <c r="C84" s="20" t="str">
        <f>IF(ISNUMBER(MATCH($A84, 대여현황!$A:$A, 0)), INDEX(대여현황!C:C, MATCH($A84, 대여현황!$A:$A, 0)), "")</f>
        <v/>
      </c>
      <c r="D84" s="20" t="str">
        <f>IF(ISNUMBER(MATCH($A84, 대여현황!$A:$A, 0)), INDEX(대여현황!D:D, MATCH($A84, 대여현황!$A:$A, 0)), "")</f>
        <v/>
      </c>
      <c r="E84" s="22" t="str">
        <f>IF(ISNUMBER(MATCH($A84, 대여현황!$A:$A, 0)), INDEX(대여현황!E:E, MATCH($A84, 대여현황!$A:$A, 0)), "")</f>
        <v/>
      </c>
      <c r="F84" s="22" t="str">
        <f>IF(ISNUMBER(MATCH($A84, 대여현황!$A:$A, 0)), INDEX(대여현황!F:F, MATCH($A84, 대여현황!$A:$A, 0)), "-")</f>
        <v>-</v>
      </c>
    </row>
    <row r="85" spans="1:6" ht="20" customHeight="1">
      <c r="A85" s="20">
        <v>413</v>
      </c>
      <c r="B85" s="21" t="s">
        <v>74</v>
      </c>
      <c r="C85" s="20" t="str">
        <f>IF(ISNUMBER(MATCH($A85, 대여현황!$A:$A, 0)), INDEX(대여현황!C:C, MATCH($A85, 대여현황!$A:$A, 0)), "")</f>
        <v/>
      </c>
      <c r="D85" s="20" t="str">
        <f>IF(ISNUMBER(MATCH($A85, 대여현황!$A:$A, 0)), INDEX(대여현황!D:D, MATCH($A85, 대여현황!$A:$A, 0)), "")</f>
        <v/>
      </c>
      <c r="E85" s="22" t="str">
        <f>IF(ISNUMBER(MATCH($A85, 대여현황!$A:$A, 0)), INDEX(대여현황!E:E, MATCH($A85, 대여현황!$A:$A, 0)), "")</f>
        <v/>
      </c>
      <c r="F85" s="22" t="str">
        <f>IF(ISNUMBER(MATCH($A85, 대여현황!$A:$A, 0)), INDEX(대여현황!F:F, MATCH($A85, 대여현황!$A:$A, 0)), "-")</f>
        <v>-</v>
      </c>
    </row>
    <row r="86" spans="1:6" ht="20" customHeight="1">
      <c r="A86" s="20">
        <v>414</v>
      </c>
      <c r="B86" s="21" t="s">
        <v>151</v>
      </c>
      <c r="C86" s="20" t="str">
        <f>IF(ISNUMBER(MATCH($A86, 대여현황!$A:$A, 0)), INDEX(대여현황!C:C, MATCH($A86, 대여현황!$A:$A, 0)), "")</f>
        <v/>
      </c>
      <c r="D86" s="20" t="str">
        <f>IF(ISNUMBER(MATCH($A86, 대여현황!$A:$A, 0)), INDEX(대여현황!D:D, MATCH($A86, 대여현황!$A:$A, 0)), "")</f>
        <v/>
      </c>
      <c r="E86" s="22" t="str">
        <f>IF(ISNUMBER(MATCH($A86, 대여현황!$A:$A, 0)), INDEX(대여현황!E:E, MATCH($A86, 대여현황!$A:$A, 0)), "")</f>
        <v/>
      </c>
      <c r="F86" s="22" t="str">
        <f>IF(ISNUMBER(MATCH($A86, 대여현황!$A:$A, 0)), INDEX(대여현황!F:F, MATCH($A86, 대여현황!$A:$A, 0)), "-")</f>
        <v>-</v>
      </c>
    </row>
    <row r="87" spans="1:6" ht="20" customHeight="1">
      <c r="A87" s="20">
        <v>415</v>
      </c>
      <c r="B87" s="21" t="s">
        <v>151</v>
      </c>
      <c r="C87" s="20" t="str">
        <f>IF(ISNUMBER(MATCH($A87, 대여현황!$A:$A, 0)), INDEX(대여현황!C:C, MATCH($A87, 대여현황!$A:$A, 0)), "")</f>
        <v/>
      </c>
      <c r="D87" s="20" t="str">
        <f>IF(ISNUMBER(MATCH($A87, 대여현황!$A:$A, 0)), INDEX(대여현황!D:D, MATCH($A87, 대여현황!$A:$A, 0)), "")</f>
        <v/>
      </c>
      <c r="E87" s="22" t="str">
        <f>IF(ISNUMBER(MATCH($A87, 대여현황!$A:$A, 0)), INDEX(대여현황!E:E, MATCH($A87, 대여현황!$A:$A, 0)), "")</f>
        <v/>
      </c>
      <c r="F87" s="22" t="str">
        <f>IF(ISNUMBER(MATCH($A87, 대여현황!$A:$A, 0)), INDEX(대여현황!F:F, MATCH($A87, 대여현황!$A:$A, 0)), "-")</f>
        <v>-</v>
      </c>
    </row>
    <row r="88" spans="1:6" ht="20" customHeight="1">
      <c r="A88" s="20">
        <v>416</v>
      </c>
      <c r="B88" s="21" t="s">
        <v>1</v>
      </c>
      <c r="C88" s="20" t="str">
        <f>IF(ISNUMBER(MATCH($A88, 대여현황!$A:$A, 0)), INDEX(대여현황!C:C, MATCH($A88, 대여현황!$A:$A, 0)), "")</f>
        <v/>
      </c>
      <c r="D88" s="20" t="str">
        <f>IF(ISNUMBER(MATCH($A88, 대여현황!$A:$A, 0)), INDEX(대여현황!D:D, MATCH($A88, 대여현황!$A:$A, 0)), "")</f>
        <v/>
      </c>
      <c r="E88" s="22" t="str">
        <f>IF(ISNUMBER(MATCH($A88, 대여현황!$A:$A, 0)), INDEX(대여현황!E:E, MATCH($A88, 대여현황!$A:$A, 0)), "")</f>
        <v/>
      </c>
      <c r="F88" s="22" t="str">
        <f>IF(ISNUMBER(MATCH($A88, 대여현황!$A:$A, 0)), INDEX(대여현황!F:F, MATCH($A88, 대여현황!$A:$A, 0)), "-")</f>
        <v>-</v>
      </c>
    </row>
    <row r="89" spans="1:6" ht="20" customHeight="1">
      <c r="A89" s="20">
        <v>417</v>
      </c>
      <c r="B89" s="21" t="s">
        <v>1</v>
      </c>
      <c r="C89" s="20" t="str">
        <f>IF(ISNUMBER(MATCH($A89, 대여현황!$A:$A, 0)), INDEX(대여현황!C:C, MATCH($A89, 대여현황!$A:$A, 0)), "")</f>
        <v/>
      </c>
      <c r="D89" s="20" t="str">
        <f>IF(ISNUMBER(MATCH($A89, 대여현황!$A:$A, 0)), INDEX(대여현황!D:D, MATCH($A89, 대여현황!$A:$A, 0)), "")</f>
        <v/>
      </c>
      <c r="E89" s="22" t="str">
        <f>IF(ISNUMBER(MATCH($A89, 대여현황!$A:$A, 0)), INDEX(대여현황!E:E, MATCH($A89, 대여현황!$A:$A, 0)), "")</f>
        <v/>
      </c>
      <c r="F89" s="22" t="str">
        <f>IF(ISNUMBER(MATCH($A89, 대여현황!$A:$A, 0)), INDEX(대여현황!F:F, MATCH($A89, 대여현황!$A:$A, 0)), "-")</f>
        <v>-</v>
      </c>
    </row>
    <row r="90" spans="1:6" ht="20" customHeight="1">
      <c r="A90" s="20">
        <v>418</v>
      </c>
      <c r="B90" s="21" t="s">
        <v>344</v>
      </c>
      <c r="C90" s="20" t="str">
        <f>IF(ISNUMBER(MATCH($A90, 대여현황!$A:$A, 0)), INDEX(대여현황!C:C, MATCH($A90, 대여현황!$A:$A, 0)), "")</f>
        <v/>
      </c>
      <c r="D90" s="20" t="str">
        <f>IF(ISNUMBER(MATCH($A90, 대여현황!$A:$A, 0)), INDEX(대여현황!D:D, MATCH($A90, 대여현황!$A:$A, 0)), "")</f>
        <v/>
      </c>
      <c r="E90" s="22" t="str">
        <f>IF(ISNUMBER(MATCH($A90, 대여현황!$A:$A, 0)), INDEX(대여현황!E:E, MATCH($A90, 대여현황!$A:$A, 0)), "")</f>
        <v/>
      </c>
      <c r="F90" s="22" t="str">
        <f>IF(ISNUMBER(MATCH($A90, 대여현황!$A:$A, 0)), INDEX(대여현황!F:F, MATCH($A90, 대여현황!$A:$A, 0)), "-")</f>
        <v>-</v>
      </c>
    </row>
    <row r="91" spans="1:6" ht="20" customHeight="1">
      <c r="A91" s="20">
        <v>419</v>
      </c>
      <c r="B91" s="21" t="s">
        <v>75</v>
      </c>
      <c r="C91" s="20" t="str">
        <f>IF(ISNUMBER(MATCH($A91, 대여현황!$A:$A, 0)), INDEX(대여현황!C:C, MATCH($A91, 대여현황!$A:$A, 0)), "")</f>
        <v/>
      </c>
      <c r="D91" s="20" t="str">
        <f>IF(ISNUMBER(MATCH($A91, 대여현황!$A:$A, 0)), INDEX(대여현황!D:D, MATCH($A91, 대여현황!$A:$A, 0)), "")</f>
        <v/>
      </c>
      <c r="E91" s="22" t="str">
        <f>IF(ISNUMBER(MATCH($A91, 대여현황!$A:$A, 0)), INDEX(대여현황!E:E, MATCH($A91, 대여현황!$A:$A, 0)), "")</f>
        <v/>
      </c>
      <c r="F91" s="22" t="str">
        <f>IF(ISNUMBER(MATCH($A91, 대여현황!$A:$A, 0)), INDEX(대여현황!F:F, MATCH($A91, 대여현황!$A:$A, 0)), "-")</f>
        <v>-</v>
      </c>
    </row>
    <row r="92" spans="1:6" ht="20" customHeight="1">
      <c r="A92" s="20">
        <v>420</v>
      </c>
      <c r="B92" s="21" t="s">
        <v>75</v>
      </c>
      <c r="C92" s="20" t="str">
        <f>IF(ISNUMBER(MATCH($A92, 대여현황!$A:$A, 0)), INDEX(대여현황!C:C, MATCH($A92, 대여현황!$A:$A, 0)), "")</f>
        <v/>
      </c>
      <c r="D92" s="20" t="str">
        <f>IF(ISNUMBER(MATCH($A92, 대여현황!$A:$A, 0)), INDEX(대여현황!D:D, MATCH($A92, 대여현황!$A:$A, 0)), "")</f>
        <v/>
      </c>
      <c r="E92" s="22" t="str">
        <f>IF(ISNUMBER(MATCH($A92, 대여현황!$A:$A, 0)), INDEX(대여현황!E:E, MATCH($A92, 대여현황!$A:$A, 0)), "")</f>
        <v/>
      </c>
      <c r="F92" s="22" t="str">
        <f>IF(ISNUMBER(MATCH($A92, 대여현황!$A:$A, 0)), INDEX(대여현황!F:F, MATCH($A92, 대여현황!$A:$A, 0)), "-")</f>
        <v>-</v>
      </c>
    </row>
    <row r="93" spans="1:6" ht="20" customHeight="1">
      <c r="A93" s="20">
        <v>421</v>
      </c>
      <c r="B93" s="21" t="s">
        <v>225</v>
      </c>
      <c r="C93" s="20" t="str">
        <f>IF(ISNUMBER(MATCH($A93, 대여현황!$A:$A, 0)), INDEX(대여현황!C:C, MATCH($A93, 대여현황!$A:$A, 0)), "")</f>
        <v/>
      </c>
      <c r="D93" s="20" t="str">
        <f>IF(ISNUMBER(MATCH($A93, 대여현황!$A:$A, 0)), INDEX(대여현황!D:D, MATCH($A93, 대여현황!$A:$A, 0)), "")</f>
        <v/>
      </c>
      <c r="E93" s="22" t="str">
        <f>IF(ISNUMBER(MATCH($A93, 대여현황!$A:$A, 0)), INDEX(대여현황!E:E, MATCH($A93, 대여현황!$A:$A, 0)), "")</f>
        <v/>
      </c>
      <c r="F93" s="22" t="str">
        <f>IF(ISNUMBER(MATCH($A93, 대여현황!$A:$A, 0)), INDEX(대여현황!F:F, MATCH($A93, 대여현황!$A:$A, 0)), "-")</f>
        <v>-</v>
      </c>
    </row>
    <row r="94" spans="1:6" ht="20" customHeight="1">
      <c r="A94" s="20">
        <v>422</v>
      </c>
      <c r="B94" s="21" t="s">
        <v>225</v>
      </c>
      <c r="C94" s="20" t="str">
        <f>IF(ISNUMBER(MATCH($A94, 대여현황!$A:$A, 0)), INDEX(대여현황!C:C, MATCH($A94, 대여현황!$A:$A, 0)), "")</f>
        <v/>
      </c>
      <c r="D94" s="20" t="str">
        <f>IF(ISNUMBER(MATCH($A94, 대여현황!$A:$A, 0)), INDEX(대여현황!D:D, MATCH($A94, 대여현황!$A:$A, 0)), "")</f>
        <v/>
      </c>
      <c r="E94" s="22" t="str">
        <f>IF(ISNUMBER(MATCH($A94, 대여현황!$A:$A, 0)), INDEX(대여현황!E:E, MATCH($A94, 대여현황!$A:$A, 0)), "")</f>
        <v/>
      </c>
      <c r="F94" s="22" t="str">
        <f>IF(ISNUMBER(MATCH($A94, 대여현황!$A:$A, 0)), INDEX(대여현황!F:F, MATCH($A94, 대여현황!$A:$A, 0)), "-")</f>
        <v>-</v>
      </c>
    </row>
    <row r="95" spans="1:6" ht="20" customHeight="1">
      <c r="A95" s="20">
        <v>423</v>
      </c>
      <c r="B95" s="21" t="s">
        <v>57</v>
      </c>
      <c r="C95" s="20" t="str">
        <f>IF(ISNUMBER(MATCH($A95, 대여현황!$A:$A, 0)), INDEX(대여현황!C:C, MATCH($A95, 대여현황!$A:$A, 0)), "")</f>
        <v/>
      </c>
      <c r="D95" s="20" t="str">
        <f>IF(ISNUMBER(MATCH($A95, 대여현황!$A:$A, 0)), INDEX(대여현황!D:D, MATCH($A95, 대여현황!$A:$A, 0)), "")</f>
        <v/>
      </c>
      <c r="E95" s="22" t="str">
        <f>IF(ISNUMBER(MATCH($A95, 대여현황!$A:$A, 0)), INDEX(대여현황!E:E, MATCH($A95, 대여현황!$A:$A, 0)), "")</f>
        <v/>
      </c>
      <c r="F95" s="22" t="str">
        <f>IF(ISNUMBER(MATCH($A95, 대여현황!$A:$A, 0)), INDEX(대여현황!F:F, MATCH($A95, 대여현황!$A:$A, 0)), "-")</f>
        <v>-</v>
      </c>
    </row>
    <row r="96" spans="1:6" ht="20" customHeight="1">
      <c r="A96" s="20">
        <v>424</v>
      </c>
      <c r="B96" s="21" t="s">
        <v>57</v>
      </c>
      <c r="C96" s="20" t="str">
        <f>IF(ISNUMBER(MATCH($A96, 대여현황!$A:$A, 0)), INDEX(대여현황!C:C, MATCH($A96, 대여현황!$A:$A, 0)), "")</f>
        <v/>
      </c>
      <c r="D96" s="20" t="str">
        <f>IF(ISNUMBER(MATCH($A96, 대여현황!$A:$A, 0)), INDEX(대여현황!D:D, MATCH($A96, 대여현황!$A:$A, 0)), "")</f>
        <v/>
      </c>
      <c r="E96" s="22" t="str">
        <f>IF(ISNUMBER(MATCH($A96, 대여현황!$A:$A, 0)), INDEX(대여현황!E:E, MATCH($A96, 대여현황!$A:$A, 0)), "")</f>
        <v/>
      </c>
      <c r="F96" s="22" t="str">
        <f>IF(ISNUMBER(MATCH($A96, 대여현황!$A:$A, 0)), INDEX(대여현황!F:F, MATCH($A96, 대여현황!$A:$A, 0)), "-")</f>
        <v>-</v>
      </c>
    </row>
    <row r="97" spans="1:6" ht="20" customHeight="1">
      <c r="A97" s="20">
        <v>425</v>
      </c>
      <c r="B97" s="21" t="s">
        <v>245</v>
      </c>
      <c r="C97" s="20" t="str">
        <f>IF(ISNUMBER(MATCH($A97, 대여현황!$A:$A, 0)), INDEX(대여현황!C:C, MATCH($A97, 대여현황!$A:$A, 0)), "")</f>
        <v/>
      </c>
      <c r="D97" s="20" t="str">
        <f>IF(ISNUMBER(MATCH($A97, 대여현황!$A:$A, 0)), INDEX(대여현황!D:D, MATCH($A97, 대여현황!$A:$A, 0)), "")</f>
        <v/>
      </c>
      <c r="E97" s="22" t="str">
        <f>IF(ISNUMBER(MATCH($A97, 대여현황!$A:$A, 0)), INDEX(대여현황!E:E, MATCH($A97, 대여현황!$A:$A, 0)), "")</f>
        <v/>
      </c>
      <c r="F97" s="22" t="str">
        <f>IF(ISNUMBER(MATCH($A97, 대여현황!$A:$A, 0)), INDEX(대여현황!F:F, MATCH($A97, 대여현황!$A:$A, 0)), "-")</f>
        <v>-</v>
      </c>
    </row>
    <row r="98" spans="1:6" ht="20" customHeight="1">
      <c r="A98" s="20">
        <v>426</v>
      </c>
      <c r="B98" s="21" t="s">
        <v>245</v>
      </c>
      <c r="C98" s="20" t="str">
        <f>IF(ISNUMBER(MATCH($A98, 대여현황!$A:$A, 0)), INDEX(대여현황!C:C, MATCH($A98, 대여현황!$A:$A, 0)), "")</f>
        <v/>
      </c>
      <c r="D98" s="20" t="str">
        <f>IF(ISNUMBER(MATCH($A98, 대여현황!$A:$A, 0)), INDEX(대여현황!D:D, MATCH($A98, 대여현황!$A:$A, 0)), "")</f>
        <v/>
      </c>
      <c r="E98" s="22" t="str">
        <f>IF(ISNUMBER(MATCH($A98, 대여현황!$A:$A, 0)), INDEX(대여현황!E:E, MATCH($A98, 대여현황!$A:$A, 0)), "")</f>
        <v/>
      </c>
      <c r="F98" s="22" t="str">
        <f>IF(ISNUMBER(MATCH($A98, 대여현황!$A:$A, 0)), INDEX(대여현황!F:F, MATCH($A98, 대여현황!$A:$A, 0)), "-")</f>
        <v>-</v>
      </c>
    </row>
    <row r="99" spans="1:6" ht="20" customHeight="1">
      <c r="A99" s="20">
        <v>427</v>
      </c>
      <c r="B99" s="21" t="s">
        <v>19</v>
      </c>
      <c r="C99" s="20" t="str">
        <f>IF(ISNUMBER(MATCH($A99, 대여현황!$A:$A, 0)), INDEX(대여현황!C:C, MATCH($A99, 대여현황!$A:$A, 0)), "")</f>
        <v/>
      </c>
      <c r="D99" s="20" t="str">
        <f>IF(ISNUMBER(MATCH($A99, 대여현황!$A:$A, 0)), INDEX(대여현황!D:D, MATCH($A99, 대여현황!$A:$A, 0)), "")</f>
        <v/>
      </c>
      <c r="E99" s="22" t="str">
        <f>IF(ISNUMBER(MATCH($A99, 대여현황!$A:$A, 0)), INDEX(대여현황!E:E, MATCH($A99, 대여현황!$A:$A, 0)), "")</f>
        <v/>
      </c>
      <c r="F99" s="22" t="str">
        <f>IF(ISNUMBER(MATCH($A99, 대여현황!$A:$A, 0)), INDEX(대여현황!F:F, MATCH($A99, 대여현황!$A:$A, 0)), "-")</f>
        <v>-</v>
      </c>
    </row>
    <row r="100" spans="1:6" ht="20" customHeight="1">
      <c r="A100" s="20">
        <v>428</v>
      </c>
      <c r="B100" s="21" t="s">
        <v>19</v>
      </c>
      <c r="C100" s="20" t="str">
        <f>IF(ISNUMBER(MATCH($A100, 대여현황!$A:$A, 0)), INDEX(대여현황!C:C, MATCH($A100, 대여현황!$A:$A, 0)), "")</f>
        <v/>
      </c>
      <c r="D100" s="20" t="str">
        <f>IF(ISNUMBER(MATCH($A100, 대여현황!$A:$A, 0)), INDEX(대여현황!D:D, MATCH($A100, 대여현황!$A:$A, 0)), "")</f>
        <v/>
      </c>
      <c r="E100" s="22" t="str">
        <f>IF(ISNUMBER(MATCH($A100, 대여현황!$A:$A, 0)), INDEX(대여현황!E:E, MATCH($A100, 대여현황!$A:$A, 0)), "")</f>
        <v/>
      </c>
      <c r="F100" s="22" t="str">
        <f>IF(ISNUMBER(MATCH($A100, 대여현황!$A:$A, 0)), INDEX(대여현황!F:F, MATCH($A100, 대여현황!$A:$A, 0)), "-")</f>
        <v>-</v>
      </c>
    </row>
    <row r="101" spans="1:6" ht="20" customHeight="1">
      <c r="A101" s="20">
        <v>429</v>
      </c>
      <c r="B101" s="21" t="s">
        <v>152</v>
      </c>
      <c r="C101" s="20" t="str">
        <f>IF(ISNUMBER(MATCH($A101, 대여현황!$A:$A, 0)), INDEX(대여현황!C:C, MATCH($A101, 대여현황!$A:$A, 0)), "")</f>
        <v/>
      </c>
      <c r="D101" s="20" t="str">
        <f>IF(ISNUMBER(MATCH($A101, 대여현황!$A:$A, 0)), INDEX(대여현황!D:D, MATCH($A101, 대여현황!$A:$A, 0)), "")</f>
        <v/>
      </c>
      <c r="E101" s="22" t="str">
        <f>IF(ISNUMBER(MATCH($A101, 대여현황!$A:$A, 0)), INDEX(대여현황!E:E, MATCH($A101, 대여현황!$A:$A, 0)), "")</f>
        <v/>
      </c>
      <c r="F101" s="22" t="str">
        <f>IF(ISNUMBER(MATCH($A101, 대여현황!$A:$A, 0)), INDEX(대여현황!F:F, MATCH($A101, 대여현황!$A:$A, 0)), "-")</f>
        <v>-</v>
      </c>
    </row>
    <row r="102" spans="1:6" ht="20" customHeight="1">
      <c r="A102" s="20">
        <v>430</v>
      </c>
      <c r="B102" s="21" t="s">
        <v>152</v>
      </c>
      <c r="C102" s="20" t="str">
        <f>IF(ISNUMBER(MATCH($A102, 대여현황!$A:$A, 0)), INDEX(대여현황!C:C, MATCH($A102, 대여현황!$A:$A, 0)), "")</f>
        <v/>
      </c>
      <c r="D102" s="20" t="str">
        <f>IF(ISNUMBER(MATCH($A102, 대여현황!$A:$A, 0)), INDEX(대여현황!D:D, MATCH($A102, 대여현황!$A:$A, 0)), "")</f>
        <v/>
      </c>
      <c r="E102" s="22" t="str">
        <f>IF(ISNUMBER(MATCH($A102, 대여현황!$A:$A, 0)), INDEX(대여현황!E:E, MATCH($A102, 대여현황!$A:$A, 0)), "")</f>
        <v/>
      </c>
      <c r="F102" s="22" t="str">
        <f>IF(ISNUMBER(MATCH($A102, 대여현황!$A:$A, 0)), INDEX(대여현황!F:F, MATCH($A102, 대여현황!$A:$A, 0)), "-")</f>
        <v>-</v>
      </c>
    </row>
    <row r="103" spans="1:6" ht="20" customHeight="1">
      <c r="A103" s="20">
        <v>431</v>
      </c>
      <c r="B103" s="21" t="s">
        <v>227</v>
      </c>
      <c r="C103" s="20" t="str">
        <f>IF(ISNUMBER(MATCH($A103, 대여현황!$A:$A, 0)), INDEX(대여현황!C:C, MATCH($A103, 대여현황!$A:$A, 0)), "")</f>
        <v/>
      </c>
      <c r="D103" s="20" t="str">
        <f>IF(ISNUMBER(MATCH($A103, 대여현황!$A:$A, 0)), INDEX(대여현황!D:D, MATCH($A103, 대여현황!$A:$A, 0)), "")</f>
        <v/>
      </c>
      <c r="E103" s="22" t="str">
        <f>IF(ISNUMBER(MATCH($A103, 대여현황!$A:$A, 0)), INDEX(대여현황!E:E, MATCH($A103, 대여현황!$A:$A, 0)), "")</f>
        <v/>
      </c>
      <c r="F103" s="22" t="str">
        <f>IF(ISNUMBER(MATCH($A103, 대여현황!$A:$A, 0)), INDEX(대여현황!F:F, MATCH($A103, 대여현황!$A:$A, 0)), "-")</f>
        <v>-</v>
      </c>
    </row>
    <row r="104" spans="1:6" ht="20" customHeight="1">
      <c r="A104" s="20">
        <v>432</v>
      </c>
      <c r="B104" s="21" t="s">
        <v>223</v>
      </c>
      <c r="C104" s="20" t="str">
        <f>IF(ISNUMBER(MATCH($A104, 대여현황!$A:$A, 0)), INDEX(대여현황!C:C, MATCH($A104, 대여현황!$A:$A, 0)), "")</f>
        <v/>
      </c>
      <c r="D104" s="20" t="str">
        <f>IF(ISNUMBER(MATCH($A104, 대여현황!$A:$A, 0)), INDEX(대여현황!D:D, MATCH($A104, 대여현황!$A:$A, 0)), "")</f>
        <v/>
      </c>
      <c r="E104" s="22" t="str">
        <f>IF(ISNUMBER(MATCH($A104, 대여현황!$A:$A, 0)), INDEX(대여현황!E:E, MATCH($A104, 대여현황!$A:$A, 0)), "")</f>
        <v/>
      </c>
      <c r="F104" s="22" t="str">
        <f>IF(ISNUMBER(MATCH($A104, 대여현황!$A:$A, 0)), INDEX(대여현황!F:F, MATCH($A104, 대여현황!$A:$A, 0)), "-")</f>
        <v>-</v>
      </c>
    </row>
    <row r="105" spans="1:6" ht="20" customHeight="1">
      <c r="A105" s="20">
        <v>433</v>
      </c>
      <c r="B105" s="21" t="s">
        <v>63</v>
      </c>
      <c r="C105" s="20" t="str">
        <f>IF(ISNUMBER(MATCH($A105, 대여현황!$A:$A, 0)), INDEX(대여현황!C:C, MATCH($A105, 대여현황!$A:$A, 0)), "")</f>
        <v/>
      </c>
      <c r="D105" s="20" t="str">
        <f>IF(ISNUMBER(MATCH($A105, 대여현황!$A:$A, 0)), INDEX(대여현황!D:D, MATCH($A105, 대여현황!$A:$A, 0)), "")</f>
        <v/>
      </c>
      <c r="E105" s="22" t="str">
        <f>IF(ISNUMBER(MATCH($A105, 대여현황!$A:$A, 0)), INDEX(대여현황!E:E, MATCH($A105, 대여현황!$A:$A, 0)), "")</f>
        <v/>
      </c>
      <c r="F105" s="22" t="str">
        <f>IF(ISNUMBER(MATCH($A105, 대여현황!$A:$A, 0)), INDEX(대여현황!F:F, MATCH($A105, 대여현황!$A:$A, 0)), "-")</f>
        <v>-</v>
      </c>
    </row>
    <row r="106" spans="1:6" ht="20" customHeight="1">
      <c r="A106" s="20">
        <v>434</v>
      </c>
      <c r="B106" s="21" t="s">
        <v>244</v>
      </c>
      <c r="C106" s="20" t="str">
        <f>IF(ISNUMBER(MATCH($A106, 대여현황!$A:$A, 0)), INDEX(대여현황!C:C, MATCH($A106, 대여현황!$A:$A, 0)), "")</f>
        <v/>
      </c>
      <c r="D106" s="20" t="str">
        <f>IF(ISNUMBER(MATCH($A106, 대여현황!$A:$A, 0)), INDEX(대여현황!D:D, MATCH($A106, 대여현황!$A:$A, 0)), "")</f>
        <v/>
      </c>
      <c r="E106" s="22" t="str">
        <f>IF(ISNUMBER(MATCH($A106, 대여현황!$A:$A, 0)), INDEX(대여현황!E:E, MATCH($A106, 대여현황!$A:$A, 0)), "")</f>
        <v/>
      </c>
      <c r="F106" s="22" t="str">
        <f>IF(ISNUMBER(MATCH($A106, 대여현황!$A:$A, 0)), INDEX(대여현황!F:F, MATCH($A106, 대여현황!$A:$A, 0)), "-")</f>
        <v>-</v>
      </c>
    </row>
    <row r="107" spans="1:6" ht="20" customHeight="1">
      <c r="A107" s="20">
        <v>435</v>
      </c>
      <c r="B107" s="21" t="s">
        <v>61</v>
      </c>
      <c r="C107" s="20" t="str">
        <f>IF(ISNUMBER(MATCH($A107, 대여현황!$A:$A, 0)), INDEX(대여현황!C:C, MATCH($A107, 대여현황!$A:$A, 0)), "")</f>
        <v/>
      </c>
      <c r="D107" s="20" t="str">
        <f>IF(ISNUMBER(MATCH($A107, 대여현황!$A:$A, 0)), INDEX(대여현황!D:D, MATCH($A107, 대여현황!$A:$A, 0)), "")</f>
        <v/>
      </c>
      <c r="E107" s="22" t="str">
        <f>IF(ISNUMBER(MATCH($A107, 대여현황!$A:$A, 0)), INDEX(대여현황!E:E, MATCH($A107, 대여현황!$A:$A, 0)), "")</f>
        <v/>
      </c>
      <c r="F107" s="22" t="str">
        <f>IF(ISNUMBER(MATCH($A107, 대여현황!$A:$A, 0)), INDEX(대여현황!F:F, MATCH($A107, 대여현황!$A:$A, 0)), "-")</f>
        <v>-</v>
      </c>
    </row>
    <row r="108" spans="1:6" ht="20" customHeight="1">
      <c r="A108" s="20">
        <v>436</v>
      </c>
      <c r="B108" s="21" t="s">
        <v>7</v>
      </c>
      <c r="C108" s="20" t="str">
        <f>IF(ISNUMBER(MATCH($A108, 대여현황!$A:$A, 0)), INDEX(대여현황!C:C, MATCH($A108, 대여현황!$A:$A, 0)), "")</f>
        <v/>
      </c>
      <c r="D108" s="20" t="str">
        <f>IF(ISNUMBER(MATCH($A108, 대여현황!$A:$A, 0)), INDEX(대여현황!D:D, MATCH($A108, 대여현황!$A:$A, 0)), "")</f>
        <v/>
      </c>
      <c r="E108" s="22" t="str">
        <f>IF(ISNUMBER(MATCH($A108, 대여현황!$A:$A, 0)), INDEX(대여현황!E:E, MATCH($A108, 대여현황!$A:$A, 0)), "")</f>
        <v/>
      </c>
      <c r="F108" s="22" t="str">
        <f>IF(ISNUMBER(MATCH($A108, 대여현황!$A:$A, 0)), INDEX(대여현황!F:F, MATCH($A108, 대여현황!$A:$A, 0)), "-")</f>
        <v>-</v>
      </c>
    </row>
    <row r="109" spans="1:6" ht="20" customHeight="1">
      <c r="A109" s="20">
        <v>437</v>
      </c>
      <c r="B109" s="21" t="s">
        <v>298</v>
      </c>
      <c r="C109" s="20" t="str">
        <f>IF(ISNUMBER(MATCH($A109, 대여현황!$A:$A, 0)), INDEX(대여현황!C:C, MATCH($A109, 대여현황!$A:$A, 0)), "")</f>
        <v/>
      </c>
      <c r="D109" s="20" t="str">
        <f>IF(ISNUMBER(MATCH($A109, 대여현황!$A:$A, 0)), INDEX(대여현황!D:D, MATCH($A109, 대여현황!$A:$A, 0)), "")</f>
        <v/>
      </c>
      <c r="E109" s="22" t="str">
        <f>IF(ISNUMBER(MATCH($A109, 대여현황!$A:$A, 0)), INDEX(대여현황!E:E, MATCH($A109, 대여현황!$A:$A, 0)), "")</f>
        <v/>
      </c>
      <c r="F109" s="22" t="str">
        <f>IF(ISNUMBER(MATCH($A109, 대여현황!$A:$A, 0)), INDEX(대여현황!F:F, MATCH($A109, 대여현황!$A:$A, 0)), "-")</f>
        <v>-</v>
      </c>
    </row>
    <row r="110" spans="1:6" ht="20" customHeight="1">
      <c r="A110" s="20">
        <v>438</v>
      </c>
      <c r="B110" s="21" t="s">
        <v>297</v>
      </c>
      <c r="C110" s="20" t="str">
        <f>IF(ISNUMBER(MATCH($A110, 대여현황!$A:$A, 0)), INDEX(대여현황!C:C, MATCH($A110, 대여현황!$A:$A, 0)), "")</f>
        <v/>
      </c>
      <c r="D110" s="20" t="str">
        <f>IF(ISNUMBER(MATCH($A110, 대여현황!$A:$A, 0)), INDEX(대여현황!D:D, MATCH($A110, 대여현황!$A:$A, 0)), "")</f>
        <v/>
      </c>
      <c r="E110" s="22" t="str">
        <f>IF(ISNUMBER(MATCH($A110, 대여현황!$A:$A, 0)), INDEX(대여현황!E:E, MATCH($A110, 대여현황!$A:$A, 0)), "")</f>
        <v/>
      </c>
      <c r="F110" s="22" t="str">
        <f>IF(ISNUMBER(MATCH($A110, 대여현황!$A:$A, 0)), INDEX(대여현황!F:F, MATCH($A110, 대여현황!$A:$A, 0)), "-")</f>
        <v>-</v>
      </c>
    </row>
    <row r="111" spans="1:6" ht="20" customHeight="1">
      <c r="A111" s="20">
        <v>439</v>
      </c>
      <c r="B111" s="21" t="s">
        <v>148</v>
      </c>
      <c r="C111" s="20" t="str">
        <f>IF(ISNUMBER(MATCH($A111, 대여현황!$A:$A, 0)), INDEX(대여현황!C:C, MATCH($A111, 대여현황!$A:$A, 0)), "")</f>
        <v/>
      </c>
      <c r="D111" s="20" t="str">
        <f>IF(ISNUMBER(MATCH($A111, 대여현황!$A:$A, 0)), INDEX(대여현황!D:D, MATCH($A111, 대여현황!$A:$A, 0)), "")</f>
        <v/>
      </c>
      <c r="E111" s="22" t="str">
        <f>IF(ISNUMBER(MATCH($A111, 대여현황!$A:$A, 0)), INDEX(대여현황!E:E, MATCH($A111, 대여현황!$A:$A, 0)), "")</f>
        <v/>
      </c>
      <c r="F111" s="22" t="str">
        <f>IF(ISNUMBER(MATCH($A111, 대여현황!$A:$A, 0)), INDEX(대여현황!F:F, MATCH($A111, 대여현황!$A:$A, 0)), "-")</f>
        <v>-</v>
      </c>
    </row>
    <row r="112" spans="1:6" ht="20" customHeight="1">
      <c r="A112" s="20">
        <v>440</v>
      </c>
      <c r="B112" s="21" t="s">
        <v>328</v>
      </c>
      <c r="C112" s="20" t="str">
        <f>IF(ISNUMBER(MATCH($A112, 대여현황!$A:$A, 0)), INDEX(대여현황!C:C, MATCH($A112, 대여현황!$A:$A, 0)), "")</f>
        <v/>
      </c>
      <c r="D112" s="20" t="str">
        <f>IF(ISNUMBER(MATCH($A112, 대여현황!$A:$A, 0)), INDEX(대여현황!D:D, MATCH($A112, 대여현황!$A:$A, 0)), "")</f>
        <v/>
      </c>
      <c r="E112" s="22" t="str">
        <f>IF(ISNUMBER(MATCH($A112, 대여현황!$A:$A, 0)), INDEX(대여현황!E:E, MATCH($A112, 대여현황!$A:$A, 0)), "")</f>
        <v/>
      </c>
      <c r="F112" s="22" t="str">
        <f>IF(ISNUMBER(MATCH($A112, 대여현황!$A:$A, 0)), INDEX(대여현황!F:F, MATCH($A112, 대여현황!$A:$A, 0)), "-")</f>
        <v>-</v>
      </c>
    </row>
    <row r="113" spans="1:6" ht="20" customHeight="1">
      <c r="A113" s="20"/>
      <c r="B113" s="21"/>
      <c r="C113" s="20" t="str">
        <f>IF(ISNUMBER(MATCH($A113, 대여현황!$A:$A, 0)), INDEX(대여현황!C:C, MATCH($A113, 대여현황!$A:$A, 0)), "")</f>
        <v/>
      </c>
      <c r="D113" s="20" t="str">
        <f>IF(ISNUMBER(MATCH($A113, 대여현황!$A:$A, 0)), INDEX(대여현황!D:D, MATCH($A113, 대여현황!$A:$A, 0)), "")</f>
        <v/>
      </c>
      <c r="E113" s="22" t="str">
        <f>IF(ISNUMBER(MATCH($A113, 대여현황!$A:$A, 0)), INDEX(대여현황!E:E, MATCH($A113, 대여현황!$A:$A, 0)), "")</f>
        <v/>
      </c>
      <c r="F113" s="22" t="str">
        <f>IF(ISNUMBER(MATCH($A113, 대여현황!$A:$A, 0)), INDEX(대여현황!F:F, MATCH($A113, 대여현황!$A:$A, 0)), "-")</f>
        <v>-</v>
      </c>
    </row>
    <row r="114" spans="1:6" ht="20" customHeight="1">
      <c r="A114" s="20"/>
      <c r="B114" s="21"/>
      <c r="C114" s="20" t="str">
        <f>IF(ISNUMBER(MATCH($A114, 대여현황!$A:$A, 0)), INDEX(대여현황!C:C, MATCH($A114, 대여현황!$A:$A, 0)), "")</f>
        <v/>
      </c>
      <c r="D114" s="20" t="str">
        <f>IF(ISNUMBER(MATCH($A114, 대여현황!$A:$A, 0)), INDEX(대여현황!D:D, MATCH($A114, 대여현황!$A:$A, 0)), "")</f>
        <v/>
      </c>
      <c r="E114" s="22" t="str">
        <f>IF(ISNUMBER(MATCH($A114, 대여현황!$A:$A, 0)), INDEX(대여현황!E:E, MATCH($A114, 대여현황!$A:$A, 0)), "")</f>
        <v/>
      </c>
      <c r="F114" s="22" t="str">
        <f>IF(ISNUMBER(MATCH($A114, 대여현황!$A:$A, 0)), INDEX(대여현황!F:F, MATCH($A114, 대여현황!$A:$A, 0)), "-")</f>
        <v>-</v>
      </c>
    </row>
    <row r="115" spans="1:6" ht="20" customHeight="1">
      <c r="A115" s="20"/>
      <c r="B115" s="21"/>
      <c r="C115" s="20" t="str">
        <f>IF(ISNUMBER(MATCH($A115, 대여현황!$A:$A, 0)), INDEX(대여현황!C:C, MATCH($A115, 대여현황!$A:$A, 0)), "")</f>
        <v/>
      </c>
      <c r="D115" s="20" t="str">
        <f>IF(ISNUMBER(MATCH($A115, 대여현황!$A:$A, 0)), INDEX(대여현황!D:D, MATCH($A115, 대여현황!$A:$A, 0)), "")</f>
        <v/>
      </c>
      <c r="E115" s="22" t="str">
        <f>IF(ISNUMBER(MATCH($A115, 대여현황!$A:$A, 0)), INDEX(대여현황!E:E, MATCH($A115, 대여현황!$A:$A, 0)), "")</f>
        <v/>
      </c>
      <c r="F115" s="22" t="str">
        <f>IF(ISNUMBER(MATCH($A115, 대여현황!$A:$A, 0)), INDEX(대여현황!F:F, MATCH($A115, 대여현황!$A:$A, 0)), "-")</f>
        <v>-</v>
      </c>
    </row>
    <row r="116" spans="1:6" ht="20" customHeight="1">
      <c r="A116" s="20"/>
      <c r="B116" s="21"/>
      <c r="C116" s="20" t="str">
        <f>IF(ISNUMBER(MATCH($A116, 대여현황!$A:$A, 0)), INDEX(대여현황!C:C, MATCH($A116, 대여현황!$A:$A, 0)), "")</f>
        <v/>
      </c>
      <c r="D116" s="20" t="str">
        <f>IF(ISNUMBER(MATCH($A116, 대여현황!$A:$A, 0)), INDEX(대여현황!D:D, MATCH($A116, 대여현황!$A:$A, 0)), "")</f>
        <v/>
      </c>
      <c r="E116" s="22" t="str">
        <f>IF(ISNUMBER(MATCH($A116, 대여현황!$A:$A, 0)), INDEX(대여현황!E:E, MATCH($A116, 대여현황!$A:$A, 0)), "")</f>
        <v/>
      </c>
      <c r="F116" s="22" t="str">
        <f>IF(ISNUMBER(MATCH($A116, 대여현황!$A:$A, 0)), INDEX(대여현황!F:F, MATCH($A116, 대여현황!$A:$A, 0)), "-")</f>
        <v>-</v>
      </c>
    </row>
    <row r="117" spans="1:6" ht="20" customHeight="1">
      <c r="A117" s="20"/>
      <c r="B117" s="21"/>
      <c r="C117" s="20" t="str">
        <f>IF(ISNUMBER(MATCH($A117, 대여현황!$A:$A, 0)), INDEX(대여현황!C:C, MATCH($A117, 대여현황!$A:$A, 0)), "")</f>
        <v/>
      </c>
      <c r="D117" s="20" t="str">
        <f>IF(ISNUMBER(MATCH($A117, 대여현황!$A:$A, 0)), INDEX(대여현황!D:D, MATCH($A117, 대여현황!$A:$A, 0)), "")</f>
        <v/>
      </c>
      <c r="E117" s="22" t="str">
        <f>IF(ISNUMBER(MATCH($A117, 대여현황!$A:$A, 0)), INDEX(대여현황!E:E, MATCH($A117, 대여현황!$A:$A, 0)), "")</f>
        <v/>
      </c>
      <c r="F117" s="22" t="str">
        <f>IF(ISNUMBER(MATCH($A117, 대여현황!$A:$A, 0)), INDEX(대여현황!F:F, MATCH($A117, 대여현황!$A:$A, 0)), "-")</f>
        <v>-</v>
      </c>
    </row>
    <row r="118" spans="1:6" ht="20" customHeight="1">
      <c r="A118" s="20"/>
      <c r="B118" s="21"/>
      <c r="C118" s="20" t="str">
        <f>IF(ISNUMBER(MATCH($A118, 대여현황!$A:$A, 0)), INDEX(대여현황!C:C, MATCH($A118, 대여현황!$A:$A, 0)), "")</f>
        <v/>
      </c>
      <c r="D118" s="20" t="str">
        <f>IF(ISNUMBER(MATCH($A118, 대여현황!$A:$A, 0)), INDEX(대여현황!D:D, MATCH($A118, 대여현황!$A:$A, 0)), "")</f>
        <v/>
      </c>
      <c r="E118" s="22" t="str">
        <f>IF(ISNUMBER(MATCH($A118, 대여현황!$A:$A, 0)), INDEX(대여현황!E:E, MATCH($A118, 대여현황!$A:$A, 0)), "")</f>
        <v/>
      </c>
      <c r="F118" s="22" t="str">
        <f>IF(ISNUMBER(MATCH($A118, 대여현황!$A:$A, 0)), INDEX(대여현황!F:F, MATCH($A118, 대여현황!$A:$A, 0)), "-")</f>
        <v>-</v>
      </c>
    </row>
    <row r="119" spans="1:6" ht="20" customHeight="1">
      <c r="A119" s="20"/>
      <c r="B119" s="21"/>
      <c r="C119" s="20" t="str">
        <f>IF(ISNUMBER(MATCH($A119, 대여현황!$A:$A, 0)), INDEX(대여현황!C:C, MATCH($A119, 대여현황!$A:$A, 0)), "")</f>
        <v/>
      </c>
      <c r="D119" s="20" t="str">
        <f>IF(ISNUMBER(MATCH($A119, 대여현황!$A:$A, 0)), INDEX(대여현황!D:D, MATCH($A119, 대여현황!$A:$A, 0)), "")</f>
        <v/>
      </c>
      <c r="E119" s="22" t="str">
        <f>IF(ISNUMBER(MATCH($A119, 대여현황!$A:$A, 0)), INDEX(대여현황!E:E, MATCH($A119, 대여현황!$A:$A, 0)), "")</f>
        <v/>
      </c>
      <c r="F119" s="22" t="str">
        <f>IF(ISNUMBER(MATCH($A119, 대여현황!$A:$A, 0)), INDEX(대여현황!F:F, MATCH($A119, 대여현황!$A:$A, 0)), "-")</f>
        <v>-</v>
      </c>
    </row>
    <row r="120" spans="1:6" ht="20" customHeight="1">
      <c r="A120" s="20"/>
      <c r="B120" s="21"/>
      <c r="C120" s="20" t="str">
        <f>IF(ISNUMBER(MATCH($A120, 대여현황!$A:$A, 0)), INDEX(대여현황!C:C, MATCH($A120, 대여현황!$A:$A, 0)), "")</f>
        <v/>
      </c>
      <c r="D120" s="20" t="str">
        <f>IF(ISNUMBER(MATCH($A120, 대여현황!$A:$A, 0)), INDEX(대여현황!D:D, MATCH($A120, 대여현황!$A:$A, 0)), "")</f>
        <v/>
      </c>
      <c r="E120" s="22" t="str">
        <f>IF(ISNUMBER(MATCH($A120, 대여현황!$A:$A, 0)), INDEX(대여현황!E:E, MATCH($A120, 대여현황!$A:$A, 0)), "")</f>
        <v/>
      </c>
      <c r="F120" s="22" t="str">
        <f>IF(ISNUMBER(MATCH($A120, 대여현황!$A:$A, 0)), INDEX(대여현황!F:F, MATCH($A120, 대여현황!$A:$A, 0)), "-")</f>
        <v>-</v>
      </c>
    </row>
    <row r="121" spans="1:6" ht="20" customHeight="1">
      <c r="A121" s="20"/>
      <c r="B121" s="21"/>
      <c r="C121" s="20" t="str">
        <f>IF(ISNUMBER(MATCH($A121, 대여현황!$A:$A, 0)), INDEX(대여현황!C:C, MATCH($A121, 대여현황!$A:$A, 0)), "")</f>
        <v/>
      </c>
      <c r="D121" s="20" t="str">
        <f>IF(ISNUMBER(MATCH($A121, 대여현황!$A:$A, 0)), INDEX(대여현황!D:D, MATCH($A121, 대여현황!$A:$A, 0)), "")</f>
        <v/>
      </c>
      <c r="E121" s="22" t="str">
        <f>IF(ISNUMBER(MATCH($A121, 대여현황!$A:$A, 0)), INDEX(대여현황!E:E, MATCH($A121, 대여현황!$A:$A, 0)), "")</f>
        <v/>
      </c>
      <c r="F121" s="22" t="str">
        <f>IF(ISNUMBER(MATCH($A121, 대여현황!$A:$A, 0)), INDEX(대여현황!F:F, MATCH($A121, 대여현황!$A:$A, 0)), "-")</f>
        <v>-</v>
      </c>
    </row>
    <row r="122" spans="1:6" ht="20" customHeight="1">
      <c r="A122" s="20"/>
      <c r="B122" s="21"/>
      <c r="C122" s="20" t="str">
        <f>IF(ISNUMBER(MATCH($A122, 대여현황!$A:$A, 0)), INDEX(대여현황!C:C, MATCH($A122, 대여현황!$A:$A, 0)), "")</f>
        <v/>
      </c>
      <c r="D122" s="20" t="str">
        <f>IF(ISNUMBER(MATCH($A122, 대여현황!$A:$A, 0)), INDEX(대여현황!D:D, MATCH($A122, 대여현황!$A:$A, 0)), "")</f>
        <v/>
      </c>
      <c r="E122" s="22" t="str">
        <f>IF(ISNUMBER(MATCH($A122, 대여현황!$A:$A, 0)), INDEX(대여현황!E:E, MATCH($A122, 대여현황!$A:$A, 0)), "")</f>
        <v/>
      </c>
      <c r="F122" s="22" t="str">
        <f>IF(ISNUMBER(MATCH($A122, 대여현황!$A:$A, 0)), INDEX(대여현황!F:F, MATCH($A122, 대여현황!$A:$A, 0)), "-")</f>
        <v>-</v>
      </c>
    </row>
    <row r="123" spans="1:6" ht="20" customHeight="1">
      <c r="A123" s="20"/>
      <c r="B123" s="21"/>
      <c r="C123" s="20" t="str">
        <f>IF(ISNUMBER(MATCH($A123, 대여현황!$A:$A, 0)), INDEX(대여현황!C:C, MATCH($A123, 대여현황!$A:$A, 0)), "")</f>
        <v/>
      </c>
      <c r="D123" s="20" t="str">
        <f>IF(ISNUMBER(MATCH($A123, 대여현황!$A:$A, 0)), INDEX(대여현황!D:D, MATCH($A123, 대여현황!$A:$A, 0)), "")</f>
        <v/>
      </c>
      <c r="E123" s="22" t="str">
        <f>IF(ISNUMBER(MATCH($A123, 대여현황!$A:$A, 0)), INDEX(대여현황!E:E, MATCH($A123, 대여현황!$A:$A, 0)), "")</f>
        <v/>
      </c>
      <c r="F123" s="22" t="str">
        <f>IF(ISNUMBER(MATCH($A123, 대여현황!$A:$A, 0)), INDEX(대여현황!F:F, MATCH($A123, 대여현황!$A:$A, 0)), "-")</f>
        <v>-</v>
      </c>
    </row>
    <row r="124" spans="1:6" ht="20" customHeight="1">
      <c r="A124" s="20"/>
      <c r="B124" s="21"/>
      <c r="C124" s="20" t="str">
        <f>IF(ISNUMBER(MATCH($A124, 대여현황!$A:$A, 0)), INDEX(대여현황!C:C, MATCH($A124, 대여현황!$A:$A, 0)), "")</f>
        <v/>
      </c>
      <c r="D124" s="20" t="str">
        <f>IF(ISNUMBER(MATCH($A124, 대여현황!$A:$A, 0)), INDEX(대여현황!D:D, MATCH($A124, 대여현황!$A:$A, 0)), "")</f>
        <v/>
      </c>
      <c r="E124" s="22" t="str">
        <f>IF(ISNUMBER(MATCH($A124, 대여현황!$A:$A, 0)), INDEX(대여현황!E:E, MATCH($A124, 대여현황!$A:$A, 0)), "")</f>
        <v/>
      </c>
      <c r="F124" s="22" t="str">
        <f>IF(ISNUMBER(MATCH($A124, 대여현황!$A:$A, 0)), INDEX(대여현황!F:F, MATCH($A124, 대여현황!$A:$A, 0)), "-")</f>
        <v>-</v>
      </c>
    </row>
    <row r="125" spans="1:6" ht="20" customHeight="1">
      <c r="A125" s="20"/>
      <c r="B125" s="21"/>
      <c r="C125" s="20" t="str">
        <f>IF(ISNUMBER(MATCH($A125, 대여현황!$A:$A, 0)), INDEX(대여현황!C:C, MATCH($A125, 대여현황!$A:$A, 0)), "")</f>
        <v/>
      </c>
      <c r="D125" s="20" t="str">
        <f>IF(ISNUMBER(MATCH($A125, 대여현황!$A:$A, 0)), INDEX(대여현황!D:D, MATCH($A125, 대여현황!$A:$A, 0)), "")</f>
        <v/>
      </c>
      <c r="E125" s="22" t="str">
        <f>IF(ISNUMBER(MATCH($A125, 대여현황!$A:$A, 0)), INDEX(대여현황!E:E, MATCH($A125, 대여현황!$A:$A, 0)), "")</f>
        <v/>
      </c>
      <c r="F125" s="22" t="str">
        <f>IF(ISNUMBER(MATCH($A125, 대여현황!$A:$A, 0)), INDEX(대여현황!F:F, MATCH($A125, 대여현황!$A:$A, 0)), "-")</f>
        <v>-</v>
      </c>
    </row>
    <row r="126" spans="1:6" ht="20" customHeight="1">
      <c r="A126" s="20"/>
      <c r="B126" s="21"/>
      <c r="C126" s="20" t="str">
        <f>IF(ISNUMBER(MATCH($A126, 대여현황!$A:$A, 0)), INDEX(대여현황!C:C, MATCH($A126, 대여현황!$A:$A, 0)), "")</f>
        <v/>
      </c>
      <c r="D126" s="20" t="str">
        <f>IF(ISNUMBER(MATCH($A126, 대여현황!$A:$A, 0)), INDEX(대여현황!D:D, MATCH($A126, 대여현황!$A:$A, 0)), "")</f>
        <v/>
      </c>
      <c r="E126" s="22" t="str">
        <f>IF(ISNUMBER(MATCH($A126, 대여현황!$A:$A, 0)), INDEX(대여현황!E:E, MATCH($A126, 대여현황!$A:$A, 0)), "")</f>
        <v/>
      </c>
      <c r="F126" s="22" t="str">
        <f>IF(ISNUMBER(MATCH($A126, 대여현황!$A:$A, 0)), INDEX(대여현황!F:F, MATCH($A126, 대여현황!$A:$A, 0)), "-")</f>
        <v>-</v>
      </c>
    </row>
    <row r="127" spans="1:6" ht="20" customHeight="1">
      <c r="A127" s="20"/>
      <c r="B127" s="21"/>
      <c r="C127" s="20" t="str">
        <f>IF(ISNUMBER(MATCH($A127, 대여현황!$A:$A, 0)), INDEX(대여현황!C:C, MATCH($A127, 대여현황!$A:$A, 0)), "")</f>
        <v/>
      </c>
      <c r="D127" s="20" t="str">
        <f>IF(ISNUMBER(MATCH($A127, 대여현황!$A:$A, 0)), INDEX(대여현황!D:D, MATCH($A127, 대여현황!$A:$A, 0)), "")</f>
        <v/>
      </c>
      <c r="E127" s="22" t="str">
        <f>IF(ISNUMBER(MATCH($A127, 대여현황!$A:$A, 0)), INDEX(대여현황!E:E, MATCH($A127, 대여현황!$A:$A, 0)), "")</f>
        <v/>
      </c>
      <c r="F127" s="22" t="str">
        <f>IF(ISNUMBER(MATCH($A127, 대여현황!$A:$A, 0)), INDEX(대여현황!F:F, MATCH($A127, 대여현황!$A:$A, 0)), "-")</f>
        <v>-</v>
      </c>
    </row>
    <row r="128" spans="1:6" ht="20" customHeight="1">
      <c r="A128" s="20"/>
      <c r="B128" s="21"/>
      <c r="C128" s="20" t="str">
        <f>IF(ISNUMBER(MATCH($A128, 대여현황!$A:$A, 0)), INDEX(대여현황!C:C, MATCH($A128, 대여현황!$A:$A, 0)), "")</f>
        <v/>
      </c>
      <c r="D128" s="20" t="str">
        <f>IF(ISNUMBER(MATCH($A128, 대여현황!$A:$A, 0)), INDEX(대여현황!D:D, MATCH($A128, 대여현황!$A:$A, 0)), "")</f>
        <v/>
      </c>
      <c r="E128" s="22" t="str">
        <f>IF(ISNUMBER(MATCH($A128, 대여현황!$A:$A, 0)), INDEX(대여현황!E:E, MATCH($A128, 대여현황!$A:$A, 0)), "")</f>
        <v/>
      </c>
      <c r="F128" s="22" t="str">
        <f>IF(ISNUMBER(MATCH($A128, 대여현황!$A:$A, 0)), INDEX(대여현황!F:F, MATCH($A128, 대여현황!$A:$A, 0)), "-")</f>
        <v>-</v>
      </c>
    </row>
    <row r="129" spans="1:6" ht="20" customHeight="1">
      <c r="A129" s="20"/>
      <c r="B129" s="21"/>
      <c r="C129" s="20" t="str">
        <f>IF(ISNUMBER(MATCH($A129, 대여현황!$A:$A, 0)), INDEX(대여현황!C:C, MATCH($A129, 대여현황!$A:$A, 0)), "")</f>
        <v/>
      </c>
      <c r="D129" s="20" t="str">
        <f>IF(ISNUMBER(MATCH($A129, 대여현황!$A:$A, 0)), INDEX(대여현황!D:D, MATCH($A129, 대여현황!$A:$A, 0)), "")</f>
        <v/>
      </c>
      <c r="E129" s="22" t="str">
        <f>IF(ISNUMBER(MATCH($A129, 대여현황!$A:$A, 0)), INDEX(대여현황!E:E, MATCH($A129, 대여현황!$A:$A, 0)), "")</f>
        <v/>
      </c>
      <c r="F129" s="22" t="str">
        <f>IF(ISNUMBER(MATCH($A129, 대여현황!$A:$A, 0)), INDEX(대여현황!F:F, MATCH($A129, 대여현황!$A:$A, 0)), "-")</f>
        <v>-</v>
      </c>
    </row>
    <row r="130" spans="1:6" ht="20" customHeight="1">
      <c r="A130" s="20"/>
      <c r="B130" s="21"/>
      <c r="C130" s="20" t="str">
        <f>IF(ISNUMBER(MATCH($A130, 대여현황!$A:$A, 0)), INDEX(대여현황!C:C, MATCH($A130, 대여현황!$A:$A, 0)), "")</f>
        <v/>
      </c>
      <c r="D130" s="20" t="str">
        <f>IF(ISNUMBER(MATCH($A130, 대여현황!$A:$A, 0)), INDEX(대여현황!D:D, MATCH($A130, 대여현황!$A:$A, 0)), "")</f>
        <v/>
      </c>
      <c r="E130" s="22" t="str">
        <f>IF(ISNUMBER(MATCH($A130, 대여현황!$A:$A, 0)), INDEX(대여현황!E:E, MATCH($A130, 대여현황!$A:$A, 0)), "")</f>
        <v/>
      </c>
      <c r="F130" s="22" t="str">
        <f>IF(ISNUMBER(MATCH($A130, 대여현황!$A:$A, 0)), INDEX(대여현황!F:F, MATCH($A130, 대여현황!$A:$A, 0)), "-")</f>
        <v>-</v>
      </c>
    </row>
    <row r="131" spans="1:6" ht="20" customHeight="1">
      <c r="A131" s="20"/>
      <c r="B131" s="21"/>
      <c r="C131" s="20" t="str">
        <f>IF(ISNUMBER(MATCH($A131, 대여현황!$A:$A, 0)), INDEX(대여현황!C:C, MATCH($A131, 대여현황!$A:$A, 0)), "")</f>
        <v/>
      </c>
      <c r="D131" s="20" t="str">
        <f>IF(ISNUMBER(MATCH($A131, 대여현황!$A:$A, 0)), INDEX(대여현황!D:D, MATCH($A131, 대여현황!$A:$A, 0)), "")</f>
        <v/>
      </c>
      <c r="E131" s="22" t="str">
        <f>IF(ISNUMBER(MATCH($A131, 대여현황!$A:$A, 0)), INDEX(대여현황!E:E, MATCH($A131, 대여현황!$A:$A, 0)), "")</f>
        <v/>
      </c>
      <c r="F131" s="22" t="str">
        <f>IF(ISNUMBER(MATCH($A131, 대여현황!$A:$A, 0)), INDEX(대여현황!F:F, MATCH($A131, 대여현황!$A:$A, 0)), "-")</f>
        <v>-</v>
      </c>
    </row>
    <row r="132" spans="1:6" ht="20" customHeight="1">
      <c r="A132" s="20"/>
      <c r="B132" s="21"/>
      <c r="C132" s="20" t="str">
        <f>IF(ISNUMBER(MATCH($A132, 대여현황!$A:$A, 0)), INDEX(대여현황!C:C, MATCH($A132, 대여현황!$A:$A, 0)), "")</f>
        <v/>
      </c>
      <c r="D132" s="20" t="str">
        <f>IF(ISNUMBER(MATCH($A132, 대여현황!$A:$A, 0)), INDEX(대여현황!D:D, MATCH($A132, 대여현황!$A:$A, 0)), "")</f>
        <v/>
      </c>
      <c r="E132" s="22" t="str">
        <f>IF(ISNUMBER(MATCH($A132, 대여현황!$A:$A, 0)), INDEX(대여현황!E:E, MATCH($A132, 대여현황!$A:$A, 0)), "")</f>
        <v/>
      </c>
      <c r="F132" s="22" t="str">
        <f>IF(ISNUMBER(MATCH($A132, 대여현황!$A:$A, 0)), INDEX(대여현황!F:F, MATCH($A132, 대여현황!$A:$A, 0)), "-")</f>
        <v>-</v>
      </c>
    </row>
    <row r="133" spans="1:6" ht="20" customHeight="1">
      <c r="A133" s="20"/>
      <c r="B133" s="21"/>
      <c r="C133" s="20" t="str">
        <f>IF(ISNUMBER(MATCH($A133, 대여현황!$A:$A, 0)), INDEX(대여현황!C:C, MATCH($A133, 대여현황!$A:$A, 0)), "")</f>
        <v/>
      </c>
      <c r="D133" s="20" t="str">
        <f>IF(ISNUMBER(MATCH($A133, 대여현황!$A:$A, 0)), INDEX(대여현황!D:D, MATCH($A133, 대여현황!$A:$A, 0)), "")</f>
        <v/>
      </c>
      <c r="E133" s="22" t="str">
        <f>IF(ISNUMBER(MATCH($A133, 대여현황!$A:$A, 0)), INDEX(대여현황!E:E, MATCH($A133, 대여현황!$A:$A, 0)), "")</f>
        <v/>
      </c>
      <c r="F133" s="22" t="str">
        <f>IF(ISNUMBER(MATCH($A133, 대여현황!$A:$A, 0)), INDEX(대여현황!F:F, MATCH($A133, 대여현황!$A:$A, 0)), "-")</f>
        <v>-</v>
      </c>
    </row>
    <row r="134" spans="1:6" ht="20" customHeight="1">
      <c r="A134" s="20"/>
      <c r="B134" s="21"/>
      <c r="C134" s="20" t="str">
        <f>IF(ISNUMBER(MATCH($A134, 대여현황!$A:$A, 0)), INDEX(대여현황!C:C, MATCH($A134, 대여현황!$A:$A, 0)), "")</f>
        <v/>
      </c>
      <c r="D134" s="20" t="str">
        <f>IF(ISNUMBER(MATCH($A134, 대여현황!$A:$A, 0)), INDEX(대여현황!D:D, MATCH($A134, 대여현황!$A:$A, 0)), "")</f>
        <v/>
      </c>
      <c r="E134" s="22" t="str">
        <f>IF(ISNUMBER(MATCH($A134, 대여현황!$A:$A, 0)), INDEX(대여현황!E:E, MATCH($A134, 대여현황!$A:$A, 0)), "")</f>
        <v/>
      </c>
      <c r="F134" s="22" t="str">
        <f>IF(ISNUMBER(MATCH($A134, 대여현황!$A:$A, 0)), INDEX(대여현황!F:F, MATCH($A134, 대여현황!$A:$A, 0)), "-")</f>
        <v>-</v>
      </c>
    </row>
    <row r="135" spans="1:6" ht="20" customHeight="1">
      <c r="A135" s="20"/>
      <c r="B135" s="21"/>
      <c r="C135" s="20" t="str">
        <f>IF(ISNUMBER(MATCH($A135, 대여현황!$A:$A, 0)), INDEX(대여현황!C:C, MATCH($A135, 대여현황!$A:$A, 0)), "")</f>
        <v/>
      </c>
      <c r="D135" s="20" t="str">
        <f>IF(ISNUMBER(MATCH($A135, 대여현황!$A:$A, 0)), INDEX(대여현황!D:D, MATCH($A135, 대여현황!$A:$A, 0)), "")</f>
        <v/>
      </c>
      <c r="E135" s="22" t="str">
        <f>IF(ISNUMBER(MATCH($A135, 대여현황!$A:$A, 0)), INDEX(대여현황!E:E, MATCH($A135, 대여현황!$A:$A, 0)), "")</f>
        <v/>
      </c>
      <c r="F135" s="22" t="str">
        <f>IF(ISNUMBER(MATCH($A135, 대여현황!$A:$A, 0)), INDEX(대여현황!F:F, MATCH($A135, 대여현황!$A:$A, 0)), "-")</f>
        <v>-</v>
      </c>
    </row>
    <row r="136" spans="1:6" ht="20" customHeight="1">
      <c r="A136" s="20"/>
      <c r="B136" s="21"/>
      <c r="C136" s="20" t="str">
        <f>IF(ISNUMBER(MATCH($A136, 대여현황!$A:$A, 0)), INDEX(대여현황!C:C, MATCH($A136, 대여현황!$A:$A, 0)), "")</f>
        <v/>
      </c>
      <c r="D136" s="20" t="str">
        <f>IF(ISNUMBER(MATCH($A136, 대여현황!$A:$A, 0)), INDEX(대여현황!D:D, MATCH($A136, 대여현황!$A:$A, 0)), "")</f>
        <v/>
      </c>
      <c r="E136" s="22" t="str">
        <f>IF(ISNUMBER(MATCH($A136, 대여현황!$A:$A, 0)), INDEX(대여현황!E:E, MATCH($A136, 대여현황!$A:$A, 0)), "")</f>
        <v/>
      </c>
      <c r="F136" s="22" t="str">
        <f>IF(ISNUMBER(MATCH($A136, 대여현황!$A:$A, 0)), INDEX(대여현황!F:F, MATCH($A136, 대여현황!$A:$A, 0)), "-")</f>
        <v>-</v>
      </c>
    </row>
    <row r="137" spans="1:6" ht="20" customHeight="1">
      <c r="A137" s="20"/>
      <c r="B137" s="21"/>
      <c r="C137" s="20" t="str">
        <f>IF(ISNUMBER(MATCH($A137, 대여현황!$A:$A, 0)), INDEX(대여현황!C:C, MATCH($A137, 대여현황!$A:$A, 0)), "")</f>
        <v/>
      </c>
      <c r="D137" s="20" t="str">
        <f>IF(ISNUMBER(MATCH($A137, 대여현황!$A:$A, 0)), INDEX(대여현황!D:D, MATCH($A137, 대여현황!$A:$A, 0)), "")</f>
        <v/>
      </c>
      <c r="E137" s="22" t="str">
        <f>IF(ISNUMBER(MATCH($A137, 대여현황!$A:$A, 0)), INDEX(대여현황!E:E, MATCH($A137, 대여현황!$A:$A, 0)), "")</f>
        <v/>
      </c>
      <c r="F137" s="22" t="str">
        <f>IF(ISNUMBER(MATCH($A137, 대여현황!$A:$A, 0)), INDEX(대여현황!F:F, MATCH($A137, 대여현황!$A:$A, 0)), "-")</f>
        <v>-</v>
      </c>
    </row>
    <row r="138" spans="1:6" ht="20" customHeight="1">
      <c r="A138" s="20"/>
      <c r="B138" s="21"/>
      <c r="C138" s="20" t="str">
        <f>IF(ISNUMBER(MATCH($A138, 대여현황!$A:$A, 0)), INDEX(대여현황!C:C, MATCH($A138, 대여현황!$A:$A, 0)), "")</f>
        <v/>
      </c>
      <c r="D138" s="20" t="str">
        <f>IF(ISNUMBER(MATCH($A138, 대여현황!$A:$A, 0)), INDEX(대여현황!D:D, MATCH($A138, 대여현황!$A:$A, 0)), "")</f>
        <v/>
      </c>
      <c r="E138" s="22" t="str">
        <f>IF(ISNUMBER(MATCH($A138, 대여현황!$A:$A, 0)), INDEX(대여현황!E:E, MATCH($A138, 대여현황!$A:$A, 0)), "")</f>
        <v/>
      </c>
      <c r="F138" s="22" t="str">
        <f>IF(ISNUMBER(MATCH($A138, 대여현황!$A:$A, 0)), INDEX(대여현황!F:F, MATCH($A138, 대여현황!$A:$A, 0)), "-")</f>
        <v>-</v>
      </c>
    </row>
    <row r="139" spans="1:6" ht="20" customHeight="1">
      <c r="A139" s="20"/>
      <c r="B139" s="21"/>
      <c r="C139" s="20" t="str">
        <f>IF(ISNUMBER(MATCH($A139, 대여현황!$A:$A, 0)), INDEX(대여현황!C:C, MATCH($A139, 대여현황!$A:$A, 0)), "")</f>
        <v/>
      </c>
      <c r="D139" s="20" t="str">
        <f>IF(ISNUMBER(MATCH($A139, 대여현황!$A:$A, 0)), INDEX(대여현황!D:D, MATCH($A139, 대여현황!$A:$A, 0)), "")</f>
        <v/>
      </c>
      <c r="E139" s="22" t="str">
        <f>IF(ISNUMBER(MATCH($A139, 대여현황!$A:$A, 0)), INDEX(대여현황!E:E, MATCH($A139, 대여현황!$A:$A, 0)), "")</f>
        <v/>
      </c>
      <c r="F139" s="22" t="str">
        <f>IF(ISNUMBER(MATCH($A139, 대여현황!$A:$A, 0)), INDEX(대여현황!F:F, MATCH($A139, 대여현황!$A:$A, 0)), "-")</f>
        <v>-</v>
      </c>
    </row>
    <row r="140" spans="1:6" ht="20" customHeight="1">
      <c r="A140" s="20"/>
      <c r="B140" s="21"/>
      <c r="C140" s="20" t="str">
        <f>IF(ISNUMBER(MATCH($A140, 대여현황!$A:$A, 0)), INDEX(대여현황!C:C, MATCH($A140, 대여현황!$A:$A, 0)), "")</f>
        <v/>
      </c>
      <c r="D140" s="20" t="str">
        <f>IF(ISNUMBER(MATCH($A140, 대여현황!$A:$A, 0)), INDEX(대여현황!D:D, MATCH($A140, 대여현황!$A:$A, 0)), "")</f>
        <v/>
      </c>
      <c r="E140" s="22" t="str">
        <f>IF(ISNUMBER(MATCH($A140, 대여현황!$A:$A, 0)), INDEX(대여현황!E:E, MATCH($A140, 대여현황!$A:$A, 0)), "")</f>
        <v/>
      </c>
      <c r="F140" s="22" t="str">
        <f>IF(ISNUMBER(MATCH($A140, 대여현황!$A:$A, 0)), INDEX(대여현황!F:F, MATCH($A140, 대여현황!$A:$A, 0)), "-")</f>
        <v>-</v>
      </c>
    </row>
    <row r="141" spans="1:6" ht="20" customHeight="1">
      <c r="A141" s="20"/>
      <c r="B141" s="21"/>
      <c r="C141" s="20" t="str">
        <f>IF(ISNUMBER(MATCH($A141, 대여현황!$A:$A, 0)), INDEX(대여현황!C:C, MATCH($A141, 대여현황!$A:$A, 0)), "")</f>
        <v/>
      </c>
      <c r="D141" s="20" t="str">
        <f>IF(ISNUMBER(MATCH($A141, 대여현황!$A:$A, 0)), INDEX(대여현황!D:D, MATCH($A141, 대여현황!$A:$A, 0)), "")</f>
        <v/>
      </c>
      <c r="E141" s="22" t="str">
        <f>IF(ISNUMBER(MATCH($A141, 대여현황!$A:$A, 0)), INDEX(대여현황!E:E, MATCH($A141, 대여현황!$A:$A, 0)), "")</f>
        <v/>
      </c>
      <c r="F141" s="22" t="str">
        <f>IF(ISNUMBER(MATCH($A141, 대여현황!$A:$A, 0)), INDEX(대여현황!F:F, MATCH($A141, 대여현황!$A:$A, 0)), "-")</f>
        <v>-</v>
      </c>
    </row>
    <row r="142" spans="1:6" ht="20" customHeight="1">
      <c r="A142" s="20"/>
      <c r="B142" s="21"/>
      <c r="C142" s="20" t="str">
        <f>IF(ISNUMBER(MATCH($A142, 대여현황!$A:$A, 0)), INDEX(대여현황!C:C, MATCH($A142, 대여현황!$A:$A, 0)), "")</f>
        <v/>
      </c>
      <c r="D142" s="20" t="str">
        <f>IF(ISNUMBER(MATCH($A142, 대여현황!$A:$A, 0)), INDEX(대여현황!D:D, MATCH($A142, 대여현황!$A:$A, 0)), "")</f>
        <v/>
      </c>
      <c r="E142" s="22" t="str">
        <f>IF(ISNUMBER(MATCH($A142, 대여현황!$A:$A, 0)), INDEX(대여현황!E:E, MATCH($A142, 대여현황!$A:$A, 0)), "")</f>
        <v/>
      </c>
      <c r="F142" s="22" t="str">
        <f>IF(ISNUMBER(MATCH($A142, 대여현황!$A:$A, 0)), INDEX(대여현황!F:F, MATCH($A142, 대여현황!$A:$A, 0)), "-")</f>
        <v>-</v>
      </c>
    </row>
    <row r="143" spans="1:6" ht="20" customHeight="1">
      <c r="A143" s="20"/>
      <c r="B143" s="21"/>
      <c r="C143" s="20" t="str">
        <f>IF(ISNUMBER(MATCH($A143, 대여현황!$A:$A, 0)), INDEX(대여현황!C:C, MATCH($A143, 대여현황!$A:$A, 0)), "")</f>
        <v/>
      </c>
      <c r="D143" s="20" t="str">
        <f>IF(ISNUMBER(MATCH($A143, 대여현황!$A:$A, 0)), INDEX(대여현황!D:D, MATCH($A143, 대여현황!$A:$A, 0)), "")</f>
        <v/>
      </c>
      <c r="E143" s="22" t="str">
        <f>IF(ISNUMBER(MATCH($A143, 대여현황!$A:$A, 0)), INDEX(대여현황!E:E, MATCH($A143, 대여현황!$A:$A, 0)), "")</f>
        <v/>
      </c>
      <c r="F143" s="22" t="str">
        <f>IF(ISNUMBER(MATCH($A143, 대여현황!$A:$A, 0)), INDEX(대여현황!F:F, MATCH($A143, 대여현황!$A:$A, 0)), "-")</f>
        <v>-</v>
      </c>
    </row>
    <row r="144" spans="1:6" ht="20" customHeight="1">
      <c r="A144" s="20"/>
      <c r="B144" s="21"/>
      <c r="C144" s="20" t="str">
        <f>IF(ISNUMBER(MATCH($A144, 대여현황!$A:$A, 0)), INDEX(대여현황!C:C, MATCH($A144, 대여현황!$A:$A, 0)), "")</f>
        <v/>
      </c>
      <c r="D144" s="20" t="str">
        <f>IF(ISNUMBER(MATCH($A144, 대여현황!$A:$A, 0)), INDEX(대여현황!D:D, MATCH($A144, 대여현황!$A:$A, 0)), "")</f>
        <v/>
      </c>
      <c r="E144" s="22" t="str">
        <f>IF(ISNUMBER(MATCH($A144, 대여현황!$A:$A, 0)), INDEX(대여현황!E:E, MATCH($A144, 대여현황!$A:$A, 0)), "")</f>
        <v/>
      </c>
      <c r="F144" s="22" t="str">
        <f>IF(ISNUMBER(MATCH($A144, 대여현황!$A:$A, 0)), INDEX(대여현황!F:F, MATCH($A144, 대여현황!$A:$A, 0)), "-")</f>
        <v>-</v>
      </c>
    </row>
    <row r="145" spans="1:6" ht="20" customHeight="1">
      <c r="A145" s="20"/>
      <c r="B145" s="21"/>
      <c r="C145" s="20" t="str">
        <f>IF(ISNUMBER(MATCH($A145, 대여현황!$A:$A, 0)), INDEX(대여현황!C:C, MATCH($A145, 대여현황!$A:$A, 0)), "")</f>
        <v/>
      </c>
      <c r="D145" s="20" t="str">
        <f>IF(ISNUMBER(MATCH($A145, 대여현황!$A:$A, 0)), INDEX(대여현황!D:D, MATCH($A145, 대여현황!$A:$A, 0)), "")</f>
        <v/>
      </c>
      <c r="E145" s="22" t="str">
        <f>IF(ISNUMBER(MATCH($A145, 대여현황!$A:$A, 0)), INDEX(대여현황!E:E, MATCH($A145, 대여현황!$A:$A, 0)), "")</f>
        <v/>
      </c>
      <c r="F145" s="22" t="str">
        <f>IF(ISNUMBER(MATCH($A145, 대여현황!$A:$A, 0)), INDEX(대여현황!F:F, MATCH($A145, 대여현황!$A:$A, 0)), "-")</f>
        <v>-</v>
      </c>
    </row>
    <row r="146" spans="1:6" ht="20" customHeight="1">
      <c r="A146" s="20"/>
      <c r="B146" s="21"/>
      <c r="C146" s="20" t="str">
        <f>IF(ISNUMBER(MATCH($A146, 대여현황!$A:$A, 0)), INDEX(대여현황!C:C, MATCH($A146, 대여현황!$A:$A, 0)), "")</f>
        <v/>
      </c>
      <c r="D146" s="20" t="str">
        <f>IF(ISNUMBER(MATCH($A146, 대여현황!$A:$A, 0)), INDEX(대여현황!D:D, MATCH($A146, 대여현황!$A:$A, 0)), "")</f>
        <v/>
      </c>
      <c r="E146" s="22" t="str">
        <f>IF(ISNUMBER(MATCH($A146, 대여현황!$A:$A, 0)), INDEX(대여현황!E:E, MATCH($A146, 대여현황!$A:$A, 0)), "")</f>
        <v/>
      </c>
      <c r="F146" s="22" t="str">
        <f>IF(ISNUMBER(MATCH($A146, 대여현황!$A:$A, 0)), INDEX(대여현황!F:F, MATCH($A146, 대여현황!$A:$A, 0)), "-")</f>
        <v>-</v>
      </c>
    </row>
    <row r="147" spans="1:6" ht="20" customHeight="1">
      <c r="A147" s="20"/>
      <c r="B147" s="21"/>
      <c r="C147" s="20" t="str">
        <f>IF(ISNUMBER(MATCH($A147, 대여현황!$A:$A, 0)), INDEX(대여현황!C:C, MATCH($A147, 대여현황!$A:$A, 0)), "")</f>
        <v/>
      </c>
      <c r="D147" s="20" t="str">
        <f>IF(ISNUMBER(MATCH($A147, 대여현황!$A:$A, 0)), INDEX(대여현황!D:D, MATCH($A147, 대여현황!$A:$A, 0)), "")</f>
        <v/>
      </c>
      <c r="E147" s="22" t="str">
        <f>IF(ISNUMBER(MATCH($A147, 대여현황!$A:$A, 0)), INDEX(대여현황!E:E, MATCH($A147, 대여현황!$A:$A, 0)), "")</f>
        <v/>
      </c>
      <c r="F147" s="22" t="str">
        <f>IF(ISNUMBER(MATCH($A147, 대여현황!$A:$A, 0)), INDEX(대여현황!F:F, MATCH($A147, 대여현황!$A:$A, 0)), "-")</f>
        <v>-</v>
      </c>
    </row>
    <row r="148" spans="1:6" ht="20" customHeight="1">
      <c r="A148" s="20"/>
      <c r="B148" s="21"/>
      <c r="C148" s="20" t="str">
        <f>IF(ISNUMBER(MATCH($A148, 대여현황!$A:$A, 0)), INDEX(대여현황!C:C, MATCH($A148, 대여현황!$A:$A, 0)), "")</f>
        <v/>
      </c>
      <c r="D148" s="20" t="str">
        <f>IF(ISNUMBER(MATCH($A148, 대여현황!$A:$A, 0)), INDEX(대여현황!D:D, MATCH($A148, 대여현황!$A:$A, 0)), "")</f>
        <v/>
      </c>
      <c r="E148" s="22" t="str">
        <f>IF(ISNUMBER(MATCH($A148, 대여현황!$A:$A, 0)), INDEX(대여현황!E:E, MATCH($A148, 대여현황!$A:$A, 0)), "")</f>
        <v/>
      </c>
      <c r="F148" s="22" t="str">
        <f>IF(ISNUMBER(MATCH($A148, 대여현황!$A:$A, 0)), INDEX(대여현황!F:F, MATCH($A148, 대여현황!$A:$A, 0)), "-")</f>
        <v>-</v>
      </c>
    </row>
    <row r="149" spans="1:6" ht="20" customHeight="1">
      <c r="A149" s="20"/>
      <c r="B149" s="21"/>
      <c r="C149" s="20" t="str">
        <f>IF(ISNUMBER(MATCH($A149, 대여현황!$A:$A, 0)), INDEX(대여현황!C:C, MATCH($A149, 대여현황!$A:$A, 0)), "")</f>
        <v/>
      </c>
      <c r="D149" s="20" t="str">
        <f>IF(ISNUMBER(MATCH($A149, 대여현황!$A:$A, 0)), INDEX(대여현황!D:D, MATCH($A149, 대여현황!$A:$A, 0)), "")</f>
        <v/>
      </c>
      <c r="E149" s="22" t="str">
        <f>IF(ISNUMBER(MATCH($A149, 대여현황!$A:$A, 0)), INDEX(대여현황!E:E, MATCH($A149, 대여현황!$A:$A, 0)), "")</f>
        <v/>
      </c>
      <c r="F149" s="22" t="str">
        <f>IF(ISNUMBER(MATCH($A149, 대여현황!$A:$A, 0)), INDEX(대여현황!F:F, MATCH($A149, 대여현황!$A:$A, 0)), "-")</f>
        <v>-</v>
      </c>
    </row>
    <row r="150" spans="1:6" ht="20" customHeight="1">
      <c r="A150" s="9"/>
      <c r="B150" s="3"/>
      <c r="C150" s="9" t="str">
        <f>IF(ISNUMBER(MATCH($A150, 대여현황!$A:$A, 0)), INDEX(대여현황!C:C, MATCH($A150, 대여현황!$A:$A, 0)), "")</f>
        <v/>
      </c>
      <c r="D150" s="9" t="str">
        <f>IF(ISNUMBER(MATCH($A150, 대여현황!$A:$A, 0)), INDEX(대여현황!D:D, MATCH($A150, 대여현황!$A:$A, 0)), "")</f>
        <v/>
      </c>
      <c r="E150" s="10" t="str">
        <f>IF(ISNUMBER(MATCH($A150, 대여현황!$A:$A, 0)), INDEX(대여현황!E:E, MATCH($A150, 대여현황!$A:$A, 0)), "")</f>
        <v/>
      </c>
      <c r="F150" s="22" t="str">
        <f>IF(ISNUMBER(MATCH($A150, 대여현황!$A:$A, 0)), INDEX(대여현황!F:F, MATCH($A150, 대여현황!$A:$A, 0)), "-")</f>
        <v>-</v>
      </c>
    </row>
    <row r="151" spans="1:6" ht="20" customHeight="1">
      <c r="A151" s="9"/>
      <c r="B151" s="3"/>
      <c r="C151" s="9" t="str">
        <f>IF(ISNUMBER(MATCH($A151, 대여현황!$A:$A, 0)), INDEX(대여현황!C:C, MATCH($A151, 대여현황!$A:$A, 0)), "")</f>
        <v/>
      </c>
      <c r="D151" s="9" t="str">
        <f>IF(ISNUMBER(MATCH($A151, 대여현황!$A:$A, 0)), INDEX(대여현황!D:D, MATCH($A151, 대여현황!$A:$A, 0)), "")</f>
        <v/>
      </c>
      <c r="E151" s="10" t="str">
        <f>IF(ISNUMBER(MATCH($A151, 대여현황!$A:$A, 0)), INDEX(대여현황!E:E, MATCH($A151, 대여현황!$A:$A, 0)), "")</f>
        <v/>
      </c>
      <c r="F151" s="22" t="str">
        <f>IF(ISNUMBER(MATCH($A151, 대여현황!$A:$A, 0)), INDEX(대여현황!F:F, MATCH($A151, 대여현황!$A:$A, 0)), "-")</f>
        <v>-</v>
      </c>
    </row>
    <row r="152" spans="1:6" ht="20" customHeight="1">
      <c r="A152" s="9"/>
      <c r="B152" s="3"/>
      <c r="C152" s="9" t="str">
        <f>IF(ISNUMBER(MATCH($A152, 대여현황!$A:$A, 0)), INDEX(대여현황!C:C, MATCH($A152, 대여현황!$A:$A, 0)), "")</f>
        <v/>
      </c>
      <c r="D152" s="9" t="str">
        <f>IF(ISNUMBER(MATCH($A152, 대여현황!$A:$A, 0)), INDEX(대여현황!D:D, MATCH($A152, 대여현황!$A:$A, 0)), "")</f>
        <v/>
      </c>
      <c r="E152" s="10" t="str">
        <f>IF(ISNUMBER(MATCH($A152, 대여현황!$A:$A, 0)), INDEX(대여현황!E:E, MATCH($A152, 대여현황!$A:$A, 0)), "")</f>
        <v/>
      </c>
      <c r="F152" s="22" t="str">
        <f>IF(ISNUMBER(MATCH($A152, 대여현황!$A:$A, 0)), INDEX(대여현황!F:F, MATCH($A152, 대여현황!$A:$A, 0)), "-")</f>
        <v>-</v>
      </c>
    </row>
    <row r="153" spans="1:6" ht="20" customHeight="1">
      <c r="A153" s="9"/>
      <c r="B153" s="3"/>
      <c r="C153" s="9" t="str">
        <f>IF(ISNUMBER(MATCH($A153, 대여현황!$A:$A, 0)), INDEX(대여현황!C:C, MATCH($A153, 대여현황!$A:$A, 0)), "")</f>
        <v/>
      </c>
      <c r="D153" s="9" t="str">
        <f>IF(ISNUMBER(MATCH($A153, 대여현황!$A:$A, 0)), INDEX(대여현황!D:D, MATCH($A153, 대여현황!$A:$A, 0)), "")</f>
        <v/>
      </c>
      <c r="E153" s="10" t="str">
        <f>IF(ISNUMBER(MATCH($A153, 대여현황!$A:$A, 0)), INDEX(대여현황!E:E, MATCH($A153, 대여현황!$A:$A, 0)), "")</f>
        <v/>
      </c>
      <c r="F153" s="22" t="str">
        <f>IF(ISNUMBER(MATCH($A153, 대여현황!$A:$A, 0)), INDEX(대여현황!F:F, MATCH($A153, 대여현황!$A:$A, 0)), "-")</f>
        <v>-</v>
      </c>
    </row>
    <row r="154" spans="1:6" ht="20" customHeight="1">
      <c r="A154" s="9"/>
      <c r="B154" s="3"/>
      <c r="C154" s="9" t="str">
        <f>IF(ISNUMBER(MATCH($A154, 대여현황!$A:$A, 0)), INDEX(대여현황!C:C, MATCH($A154, 대여현황!$A:$A, 0)), "")</f>
        <v/>
      </c>
      <c r="D154" s="9" t="str">
        <f>IF(ISNUMBER(MATCH($A154, 대여현황!$A:$A, 0)), INDEX(대여현황!D:D, MATCH($A154, 대여현황!$A:$A, 0)), "")</f>
        <v/>
      </c>
      <c r="E154" s="10" t="str">
        <f>IF(ISNUMBER(MATCH($A154, 대여현황!$A:$A, 0)), INDEX(대여현황!E:E, MATCH($A154, 대여현황!$A:$A, 0)), "")</f>
        <v/>
      </c>
      <c r="F154" s="22" t="str">
        <f>IF(ISNUMBER(MATCH($A154, 대여현황!$A:$A, 0)), INDEX(대여현황!F:F, MATCH($A154, 대여현황!$A:$A, 0)), "-")</f>
        <v>-</v>
      </c>
    </row>
    <row r="155" spans="1:6" ht="20" customHeight="1">
      <c r="A155" s="9"/>
      <c r="B155" s="3"/>
      <c r="C155" s="9" t="str">
        <f>IF(ISNUMBER(MATCH($A155, 대여현황!$A:$A, 0)), INDEX(대여현황!C:C, MATCH($A155, 대여현황!$A:$A, 0)), "")</f>
        <v/>
      </c>
      <c r="D155" s="9" t="str">
        <f>IF(ISNUMBER(MATCH($A155, 대여현황!$A:$A, 0)), INDEX(대여현황!D:D, MATCH($A155, 대여현황!$A:$A, 0)), "")</f>
        <v/>
      </c>
      <c r="E155" s="10" t="str">
        <f>IF(ISNUMBER(MATCH($A155, 대여현황!$A:$A, 0)), INDEX(대여현황!E:E, MATCH($A155, 대여현황!$A:$A, 0)), "")</f>
        <v/>
      </c>
      <c r="F155" s="22" t="str">
        <f>IF(ISNUMBER(MATCH($A155, 대여현황!$A:$A, 0)), INDEX(대여현황!F:F, MATCH($A155, 대여현황!$A:$A, 0)), "-")</f>
        <v>-</v>
      </c>
    </row>
    <row r="156" spans="1:6" ht="20" customHeight="1">
      <c r="A156" s="9"/>
      <c r="B156" s="3"/>
      <c r="C156" s="9" t="str">
        <f>IF(ISNUMBER(MATCH($A156, 대여현황!$A:$A, 0)), INDEX(대여현황!C:C, MATCH($A156, 대여현황!$A:$A, 0)), "")</f>
        <v/>
      </c>
      <c r="D156" s="9" t="str">
        <f>IF(ISNUMBER(MATCH($A156, 대여현황!$A:$A, 0)), INDEX(대여현황!D:D, MATCH($A156, 대여현황!$A:$A, 0)), "")</f>
        <v/>
      </c>
      <c r="E156" s="10" t="str">
        <f>IF(ISNUMBER(MATCH($A156, 대여현황!$A:$A, 0)), INDEX(대여현황!E:E, MATCH($A156, 대여현황!$A:$A, 0)), "")</f>
        <v/>
      </c>
      <c r="F156" s="22" t="str">
        <f>IF(ISNUMBER(MATCH($A156, 대여현황!$A:$A, 0)), INDEX(대여현황!F:F, MATCH($A156, 대여현황!$A:$A, 0)), "-")</f>
        <v>-</v>
      </c>
    </row>
    <row r="157" spans="1:6" ht="20" customHeight="1">
      <c r="A157" s="9"/>
      <c r="B157" s="3"/>
      <c r="C157" s="9" t="str">
        <f>IF(ISNUMBER(MATCH($A157, 대여현황!$A:$A, 0)), INDEX(대여현황!C:C, MATCH($A157, 대여현황!$A:$A, 0)), "")</f>
        <v/>
      </c>
      <c r="D157" s="9" t="str">
        <f>IF(ISNUMBER(MATCH($A157, 대여현황!$A:$A, 0)), INDEX(대여현황!D:D, MATCH($A157, 대여현황!$A:$A, 0)), "")</f>
        <v/>
      </c>
      <c r="E157" s="10" t="str">
        <f>IF(ISNUMBER(MATCH($A157, 대여현황!$A:$A, 0)), INDEX(대여현황!E:E, MATCH($A157, 대여현황!$A:$A, 0)), "")</f>
        <v/>
      </c>
      <c r="F157" s="22" t="str">
        <f>IF(ISNUMBER(MATCH($A157, 대여현황!$A:$A, 0)), INDEX(대여현황!F:F, MATCH($A157, 대여현황!$A:$A, 0)), "-")</f>
        <v>-</v>
      </c>
    </row>
    <row r="158" spans="1:6" ht="20" customHeight="1">
      <c r="A158" s="9"/>
      <c r="B158" s="3"/>
      <c r="C158" s="9" t="str">
        <f>IF(ISNUMBER(MATCH($A158, 대여현황!$A:$A, 0)), INDEX(대여현황!C:C, MATCH($A158, 대여현황!$A:$A, 0)), "")</f>
        <v/>
      </c>
      <c r="D158" s="9" t="str">
        <f>IF(ISNUMBER(MATCH($A158, 대여현황!$A:$A, 0)), INDEX(대여현황!D:D, MATCH($A158, 대여현황!$A:$A, 0)), "")</f>
        <v/>
      </c>
      <c r="E158" s="10" t="str">
        <f>IF(ISNUMBER(MATCH($A158, 대여현황!$A:$A, 0)), INDEX(대여현황!E:E, MATCH($A158, 대여현황!$A:$A, 0)), "")</f>
        <v/>
      </c>
      <c r="F158" s="22" t="str">
        <f>IF(ISNUMBER(MATCH($A158, 대여현황!$A:$A, 0)), INDEX(대여현황!F:F, MATCH($A158, 대여현황!$A:$A, 0)), "-")</f>
        <v>-</v>
      </c>
    </row>
    <row r="159" spans="1:6" ht="20" customHeight="1">
      <c r="A159" s="9"/>
      <c r="B159" s="3"/>
      <c r="C159" s="9" t="str">
        <f>IF(ISNUMBER(MATCH($A159, 대여현황!$A:$A, 0)), INDEX(대여현황!C:C, MATCH($A159, 대여현황!$A:$A, 0)), "")</f>
        <v/>
      </c>
      <c r="D159" s="9" t="str">
        <f>IF(ISNUMBER(MATCH($A159, 대여현황!$A:$A, 0)), INDEX(대여현황!D:D, MATCH($A159, 대여현황!$A:$A, 0)), "")</f>
        <v/>
      </c>
      <c r="E159" s="10" t="str">
        <f>IF(ISNUMBER(MATCH($A159, 대여현황!$A:$A, 0)), INDEX(대여현황!E:E, MATCH($A159, 대여현황!$A:$A, 0)), "")</f>
        <v/>
      </c>
      <c r="F159" s="22" t="str">
        <f>IF(ISNUMBER(MATCH($A159, 대여현황!$A:$A, 0)), INDEX(대여현황!F:F, MATCH($A159, 대여현황!$A:$A, 0)), "-")</f>
        <v>-</v>
      </c>
    </row>
    <row r="160" spans="1:6" ht="20" customHeight="1">
      <c r="A160" s="9"/>
      <c r="B160" s="3"/>
      <c r="C160" s="9" t="str">
        <f>IF(ISNUMBER(MATCH($A160, 대여현황!$A:$A, 0)), INDEX(대여현황!C:C, MATCH($A160, 대여현황!$A:$A, 0)), "")</f>
        <v/>
      </c>
      <c r="D160" s="9" t="str">
        <f>IF(ISNUMBER(MATCH($A160, 대여현황!$A:$A, 0)), INDEX(대여현황!D:D, MATCH($A160, 대여현황!$A:$A, 0)), "")</f>
        <v/>
      </c>
      <c r="E160" s="10" t="str">
        <f>IF(ISNUMBER(MATCH($A160, 대여현황!$A:$A, 0)), INDEX(대여현황!E:E, MATCH($A160, 대여현황!$A:$A, 0)), "")</f>
        <v/>
      </c>
      <c r="F160" s="22" t="str">
        <f>IF(ISNUMBER(MATCH($A160, 대여현황!$A:$A, 0)), INDEX(대여현황!F:F, MATCH($A160, 대여현황!$A:$A, 0)), "-")</f>
        <v>-</v>
      </c>
    </row>
    <row r="161" spans="1:6" ht="20" customHeight="1">
      <c r="A161" s="9"/>
      <c r="B161" s="3"/>
      <c r="C161" s="9" t="str">
        <f>IF(ISNUMBER(MATCH($A161, 대여현황!$A:$A, 0)), INDEX(대여현황!C:C, MATCH($A161, 대여현황!$A:$A, 0)), "")</f>
        <v/>
      </c>
      <c r="D161" s="9" t="str">
        <f>IF(ISNUMBER(MATCH($A161, 대여현황!$A:$A, 0)), INDEX(대여현황!D:D, MATCH($A161, 대여현황!$A:$A, 0)), "")</f>
        <v/>
      </c>
      <c r="E161" s="10" t="str">
        <f>IF(ISNUMBER(MATCH($A161, 대여현황!$A:$A, 0)), INDEX(대여현황!E:E, MATCH($A161, 대여현황!$A:$A, 0)), "")</f>
        <v/>
      </c>
      <c r="F161" s="22" t="str">
        <f>IF(ISNUMBER(MATCH($A161, 대여현황!$A:$A, 0)), INDEX(대여현황!F:F, MATCH($A161, 대여현황!$A:$A, 0)), "-")</f>
        <v>-</v>
      </c>
    </row>
    <row r="162" spans="1:6" ht="20" customHeight="1">
      <c r="A162" s="9"/>
      <c r="B162" s="3"/>
      <c r="C162" s="9" t="str">
        <f>IF(ISNUMBER(MATCH($A162, 대여현황!$A:$A, 0)), INDEX(대여현황!C:C, MATCH($A162, 대여현황!$A:$A, 0)), "")</f>
        <v/>
      </c>
      <c r="D162" s="9" t="str">
        <f>IF(ISNUMBER(MATCH($A162, 대여현황!$A:$A, 0)), INDEX(대여현황!D:D, MATCH($A162, 대여현황!$A:$A, 0)), "")</f>
        <v/>
      </c>
      <c r="E162" s="10" t="str">
        <f>IF(ISNUMBER(MATCH($A162, 대여현황!$A:$A, 0)), INDEX(대여현황!E:E, MATCH($A162, 대여현황!$A:$A, 0)), "")</f>
        <v/>
      </c>
      <c r="F162" s="22" t="str">
        <f>IF(ISNUMBER(MATCH($A162, 대여현황!$A:$A, 0)), INDEX(대여현황!F:F, MATCH($A162, 대여현황!$A:$A, 0)), "-")</f>
        <v>-</v>
      </c>
    </row>
    <row r="163" spans="1:6" ht="20" customHeight="1">
      <c r="A163" s="9"/>
      <c r="B163" s="3"/>
      <c r="C163" s="9" t="str">
        <f>IF(ISNUMBER(MATCH($A163, 대여현황!$A:$A, 0)), INDEX(대여현황!C:C, MATCH($A163, 대여현황!$A:$A, 0)), "")</f>
        <v/>
      </c>
      <c r="D163" s="9" t="str">
        <f>IF(ISNUMBER(MATCH($A163, 대여현황!$A:$A, 0)), INDEX(대여현황!D:D, MATCH($A163, 대여현황!$A:$A, 0)), "")</f>
        <v/>
      </c>
      <c r="E163" s="10" t="str">
        <f>IF(ISNUMBER(MATCH($A163, 대여현황!$A:$A, 0)), INDEX(대여현황!E:E, MATCH($A163, 대여현황!$A:$A, 0)), "")</f>
        <v/>
      </c>
      <c r="F163" s="22" t="str">
        <f>IF(ISNUMBER(MATCH($A163, 대여현황!$A:$A, 0)), INDEX(대여현황!F:F, MATCH($A163, 대여현황!$A:$A, 0)), "-")</f>
        <v>-</v>
      </c>
    </row>
    <row r="164" spans="1:6" ht="20" customHeight="1">
      <c r="A164" s="9"/>
      <c r="B164" s="3"/>
      <c r="C164" s="9" t="str">
        <f>IF(ISNUMBER(MATCH($A164, 대여현황!$A:$A, 0)), INDEX(대여현황!C:C, MATCH($A164, 대여현황!$A:$A, 0)), "")</f>
        <v/>
      </c>
      <c r="D164" s="9" t="str">
        <f>IF(ISNUMBER(MATCH($A164, 대여현황!$A:$A, 0)), INDEX(대여현황!D:D, MATCH($A164, 대여현황!$A:$A, 0)), "")</f>
        <v/>
      </c>
      <c r="E164" s="10" t="str">
        <f>IF(ISNUMBER(MATCH($A164, 대여현황!$A:$A, 0)), INDEX(대여현황!E:E, MATCH($A164, 대여현황!$A:$A, 0)), "")</f>
        <v/>
      </c>
      <c r="F164" s="22" t="str">
        <f>IF(ISNUMBER(MATCH($A164, 대여현황!$A:$A, 0)), INDEX(대여현황!F:F, MATCH($A164, 대여현황!$A:$A, 0)), "-")</f>
        <v>-</v>
      </c>
    </row>
    <row r="165" spans="1:6" ht="20" customHeight="1">
      <c r="A165" s="9"/>
      <c r="B165" s="3"/>
      <c r="C165" s="9" t="str">
        <f>IF(ISNUMBER(MATCH($A165, 대여현황!$A:$A, 0)), INDEX(대여현황!C:C, MATCH($A165, 대여현황!$A:$A, 0)), "")</f>
        <v/>
      </c>
      <c r="D165" s="9" t="str">
        <f>IF(ISNUMBER(MATCH($A165, 대여현황!$A:$A, 0)), INDEX(대여현황!D:D, MATCH($A165, 대여현황!$A:$A, 0)), "")</f>
        <v/>
      </c>
      <c r="E165" s="10" t="str">
        <f>IF(ISNUMBER(MATCH($A165, 대여현황!$A:$A, 0)), INDEX(대여현황!E:E, MATCH($A165, 대여현황!$A:$A, 0)), "")</f>
        <v/>
      </c>
      <c r="F165" s="22" t="str">
        <f>IF(ISNUMBER(MATCH($A165, 대여현황!$A:$A, 0)), INDEX(대여현황!F:F, MATCH($A165, 대여현황!$A:$A, 0)), "-")</f>
        <v>-</v>
      </c>
    </row>
    <row r="166" spans="1:6" ht="20" customHeight="1">
      <c r="A166" s="9"/>
      <c r="B166" s="3"/>
      <c r="C166" s="9" t="str">
        <f>IF(ISNUMBER(MATCH($A166, 대여현황!$A:$A, 0)), INDEX(대여현황!C:C, MATCH($A166, 대여현황!$A:$A, 0)), "")</f>
        <v/>
      </c>
      <c r="D166" s="9" t="str">
        <f>IF(ISNUMBER(MATCH($A166, 대여현황!$A:$A, 0)), INDEX(대여현황!D:D, MATCH($A166, 대여현황!$A:$A, 0)), "")</f>
        <v/>
      </c>
      <c r="E166" s="10" t="str">
        <f>IF(ISNUMBER(MATCH($A166, 대여현황!$A:$A, 0)), INDEX(대여현황!E:E, MATCH($A166, 대여현황!$A:$A, 0)), "")</f>
        <v/>
      </c>
      <c r="F166" s="22" t="str">
        <f>IF(ISNUMBER(MATCH($A166, 대여현황!$A:$A, 0)), INDEX(대여현황!F:F, MATCH($A166, 대여현황!$A:$A, 0)), "-")</f>
        <v>-</v>
      </c>
    </row>
    <row r="167" spans="1:6" ht="20" customHeight="1">
      <c r="A167" s="9"/>
      <c r="B167" s="3"/>
      <c r="C167" s="9" t="str">
        <f>IF(ISNUMBER(MATCH($A167, 대여현황!$A:$A, 0)), INDEX(대여현황!C:C, MATCH($A167, 대여현황!$A:$A, 0)), "")</f>
        <v/>
      </c>
      <c r="D167" s="9" t="str">
        <f>IF(ISNUMBER(MATCH($A167, 대여현황!$A:$A, 0)), INDEX(대여현황!D:D, MATCH($A167, 대여현황!$A:$A, 0)), "")</f>
        <v/>
      </c>
      <c r="E167" s="10" t="str">
        <f>IF(ISNUMBER(MATCH($A167, 대여현황!$A:$A, 0)), INDEX(대여현황!E:E, MATCH($A167, 대여현황!$A:$A, 0)), "")</f>
        <v/>
      </c>
      <c r="F167" s="22" t="str">
        <f>IF(ISNUMBER(MATCH($A167, 대여현황!$A:$A, 0)), INDEX(대여현황!F:F, MATCH($A167, 대여현황!$A:$A, 0)), "-")</f>
        <v>-</v>
      </c>
    </row>
    <row r="168" spans="1:6" ht="20" customHeight="1">
      <c r="A168" s="9"/>
      <c r="B168" s="3"/>
      <c r="C168" s="9" t="str">
        <f>IF(ISNUMBER(MATCH($A168, 대여현황!$A:$A, 0)), INDEX(대여현황!C:C, MATCH($A168, 대여현황!$A:$A, 0)), "")</f>
        <v/>
      </c>
      <c r="D168" s="9" t="str">
        <f>IF(ISNUMBER(MATCH($A168, 대여현황!$A:$A, 0)), INDEX(대여현황!D:D, MATCH($A168, 대여현황!$A:$A, 0)), "")</f>
        <v/>
      </c>
      <c r="E168" s="10" t="str">
        <f>IF(ISNUMBER(MATCH($A168, 대여현황!$A:$A, 0)), INDEX(대여현황!E:E, MATCH($A168, 대여현황!$A:$A, 0)), "")</f>
        <v/>
      </c>
      <c r="F168" s="22" t="str">
        <f>IF(ISNUMBER(MATCH($A168, 대여현황!$A:$A, 0)), INDEX(대여현황!F:F, MATCH($A168, 대여현황!$A:$A, 0)), "-")</f>
        <v>-</v>
      </c>
    </row>
    <row r="169" spans="1:6" ht="20" customHeight="1">
      <c r="A169" s="9"/>
      <c r="B169" s="3"/>
      <c r="C169" s="9" t="str">
        <f>IF(ISNUMBER(MATCH($A169, 대여현황!$A:$A, 0)), INDEX(대여현황!C:C, MATCH($A169, 대여현황!$A:$A, 0)), "")</f>
        <v/>
      </c>
      <c r="D169" s="9" t="str">
        <f>IF(ISNUMBER(MATCH($A169, 대여현황!$A:$A, 0)), INDEX(대여현황!D:D, MATCH($A169, 대여현황!$A:$A, 0)), "")</f>
        <v/>
      </c>
      <c r="E169" s="10" t="str">
        <f>IF(ISNUMBER(MATCH($A169, 대여현황!$A:$A, 0)), INDEX(대여현황!E:E, MATCH($A169, 대여현황!$A:$A, 0)), "")</f>
        <v/>
      </c>
      <c r="F169" s="22" t="str">
        <f>IF(ISNUMBER(MATCH($A169, 대여현황!$A:$A, 0)), INDEX(대여현황!F:F, MATCH($A169, 대여현황!$A:$A, 0)), "-")</f>
        <v>-</v>
      </c>
    </row>
    <row r="170" spans="1:6" ht="20" customHeight="1">
      <c r="A170" s="9"/>
      <c r="B170" s="3"/>
      <c r="C170" s="9" t="str">
        <f>IF(ISNUMBER(MATCH($A170, 대여현황!$A:$A, 0)), INDEX(대여현황!C:C, MATCH($A170, 대여현황!$A:$A, 0)), "")</f>
        <v/>
      </c>
      <c r="D170" s="9" t="str">
        <f>IF(ISNUMBER(MATCH($A170, 대여현황!$A:$A, 0)), INDEX(대여현황!D:D, MATCH($A170, 대여현황!$A:$A, 0)), "")</f>
        <v/>
      </c>
      <c r="E170" s="10" t="str">
        <f>IF(ISNUMBER(MATCH($A170, 대여현황!$A:$A, 0)), INDEX(대여현황!E:E, MATCH($A170, 대여현황!$A:$A, 0)), "")</f>
        <v/>
      </c>
      <c r="F170" s="22" t="str">
        <f>IF(ISNUMBER(MATCH($A170, 대여현황!$A:$A, 0)), INDEX(대여현황!F:F, MATCH($A170, 대여현황!$A:$A, 0)), "-")</f>
        <v>-</v>
      </c>
    </row>
    <row r="171" spans="1:6" ht="20" customHeight="1">
      <c r="A171" s="9"/>
      <c r="B171" s="3"/>
      <c r="C171" s="9" t="str">
        <f>IF(ISNUMBER(MATCH($A171, 대여현황!$A:$A, 0)), INDEX(대여현황!C:C, MATCH($A171, 대여현황!$A:$A, 0)), "")</f>
        <v/>
      </c>
      <c r="D171" s="9" t="str">
        <f>IF(ISNUMBER(MATCH($A171, 대여현황!$A:$A, 0)), INDEX(대여현황!D:D, MATCH($A171, 대여현황!$A:$A, 0)), "")</f>
        <v/>
      </c>
      <c r="E171" s="10" t="str">
        <f>IF(ISNUMBER(MATCH($A171, 대여현황!$A:$A, 0)), INDEX(대여현황!E:E, MATCH($A171, 대여현황!$A:$A, 0)), "")</f>
        <v/>
      </c>
      <c r="F171" s="22" t="str">
        <f>IF(ISNUMBER(MATCH($A171, 대여현황!$A:$A, 0)), INDEX(대여현황!F:F, MATCH($A171, 대여현황!$A:$A, 0)), "-")</f>
        <v>-</v>
      </c>
    </row>
    <row r="172" spans="1:6" ht="20" customHeight="1">
      <c r="A172" s="9"/>
      <c r="B172" s="3"/>
      <c r="C172" s="9" t="str">
        <f>IF(ISNUMBER(MATCH($A172, 대여현황!$A:$A, 0)), INDEX(대여현황!C:C, MATCH($A172, 대여현황!$A:$A, 0)), "")</f>
        <v/>
      </c>
      <c r="D172" s="9" t="str">
        <f>IF(ISNUMBER(MATCH($A172, 대여현황!$A:$A, 0)), INDEX(대여현황!D:D, MATCH($A172, 대여현황!$A:$A, 0)), "")</f>
        <v/>
      </c>
      <c r="E172" s="10" t="str">
        <f>IF(ISNUMBER(MATCH($A172, 대여현황!$A:$A, 0)), INDEX(대여현황!E:E, MATCH($A172, 대여현황!$A:$A, 0)), "")</f>
        <v/>
      </c>
      <c r="F172" s="22" t="str">
        <f>IF(ISNUMBER(MATCH($A172, 대여현황!$A:$A, 0)), INDEX(대여현황!F:F, MATCH($A172, 대여현황!$A:$A, 0)), "-")</f>
        <v>-</v>
      </c>
    </row>
    <row r="173" spans="1:6" ht="20" customHeight="1">
      <c r="A173" s="9"/>
      <c r="B173" s="3"/>
      <c r="C173" s="9" t="str">
        <f>IF(ISNUMBER(MATCH($A173, 대여현황!$A:$A, 0)), INDEX(대여현황!C:C, MATCH($A173, 대여현황!$A:$A, 0)), "")</f>
        <v/>
      </c>
      <c r="D173" s="9" t="str">
        <f>IF(ISNUMBER(MATCH($A173, 대여현황!$A:$A, 0)), INDEX(대여현황!D:D, MATCH($A173, 대여현황!$A:$A, 0)), "")</f>
        <v/>
      </c>
      <c r="E173" s="10" t="str">
        <f>IF(ISNUMBER(MATCH($A173, 대여현황!$A:$A, 0)), INDEX(대여현황!E:E, MATCH($A173, 대여현황!$A:$A, 0)), "")</f>
        <v/>
      </c>
      <c r="F173" s="22" t="str">
        <f>IF(ISNUMBER(MATCH($A173, 대여현황!$A:$A, 0)), INDEX(대여현황!F:F, MATCH($A173, 대여현황!$A:$A, 0)), "-")</f>
        <v>-</v>
      </c>
    </row>
    <row r="174" spans="1:6" ht="20" customHeight="1">
      <c r="A174" s="9"/>
      <c r="B174" s="3"/>
      <c r="C174" s="9" t="str">
        <f>IF(ISNUMBER(MATCH($A174, 대여현황!$A:$A, 0)), INDEX(대여현황!C:C, MATCH($A174, 대여현황!$A:$A, 0)), "")</f>
        <v/>
      </c>
      <c r="D174" s="9" t="str">
        <f>IF(ISNUMBER(MATCH($A174, 대여현황!$A:$A, 0)), INDEX(대여현황!D:D, MATCH($A174, 대여현황!$A:$A, 0)), "")</f>
        <v/>
      </c>
      <c r="E174" s="10" t="str">
        <f>IF(ISNUMBER(MATCH($A174, 대여현황!$A:$A, 0)), INDEX(대여현황!E:E, MATCH($A174, 대여현황!$A:$A, 0)), "")</f>
        <v/>
      </c>
      <c r="F174" s="22" t="str">
        <f>IF(ISNUMBER(MATCH($A174, 대여현황!$A:$A, 0)), INDEX(대여현황!F:F, MATCH($A174, 대여현황!$A:$A, 0)), "-")</f>
        <v>-</v>
      </c>
    </row>
    <row r="175" spans="1:6" ht="20" customHeight="1">
      <c r="A175" s="9"/>
      <c r="B175" s="3"/>
      <c r="C175" s="9" t="str">
        <f>IF(ISNUMBER(MATCH($A175, 대여현황!$A:$A, 0)), INDEX(대여현황!C:C, MATCH($A175, 대여현황!$A:$A, 0)), "")</f>
        <v/>
      </c>
      <c r="D175" s="9" t="str">
        <f>IF(ISNUMBER(MATCH($A175, 대여현황!$A:$A, 0)), INDEX(대여현황!D:D, MATCH($A175, 대여현황!$A:$A, 0)), "")</f>
        <v/>
      </c>
      <c r="E175" s="10" t="str">
        <f>IF(ISNUMBER(MATCH($A175, 대여현황!$A:$A, 0)), INDEX(대여현황!E:E, MATCH($A175, 대여현황!$A:$A, 0)), "")</f>
        <v/>
      </c>
      <c r="F175" s="22" t="str">
        <f>IF(ISNUMBER(MATCH($A175, 대여현황!$A:$A, 0)), INDEX(대여현황!F:F, MATCH($A175, 대여현황!$A:$A, 0)), "-")</f>
        <v>-</v>
      </c>
    </row>
    <row r="176" spans="1:6" ht="20" customHeight="1">
      <c r="A176" s="9"/>
      <c r="B176" s="3"/>
      <c r="C176" s="9" t="str">
        <f>IF(ISNUMBER(MATCH($A176, 대여현황!$A:$A, 0)), INDEX(대여현황!C:C, MATCH($A176, 대여현황!$A:$A, 0)), "")</f>
        <v/>
      </c>
      <c r="D176" s="9" t="str">
        <f>IF(ISNUMBER(MATCH($A176, 대여현황!$A:$A, 0)), INDEX(대여현황!D:D, MATCH($A176, 대여현황!$A:$A, 0)), "")</f>
        <v/>
      </c>
      <c r="E176" s="10" t="str">
        <f>IF(ISNUMBER(MATCH($A176, 대여현황!$A:$A, 0)), INDEX(대여현황!E:E, MATCH($A176, 대여현황!$A:$A, 0)), "")</f>
        <v/>
      </c>
      <c r="F176" s="22" t="str">
        <f>IF(ISNUMBER(MATCH($A176, 대여현황!$A:$A, 0)), INDEX(대여현황!F:F, MATCH($A176, 대여현황!$A:$A, 0)), "-")</f>
        <v>-</v>
      </c>
    </row>
    <row r="177" spans="1:6" ht="20" customHeight="1">
      <c r="A177" s="9"/>
      <c r="B177" s="3"/>
      <c r="C177" s="9" t="str">
        <f>IF(ISNUMBER(MATCH($A177, 대여현황!$A:$A, 0)), INDEX(대여현황!C:C, MATCH($A177, 대여현황!$A:$A, 0)), "")</f>
        <v/>
      </c>
      <c r="D177" s="9" t="str">
        <f>IF(ISNUMBER(MATCH($A177, 대여현황!$A:$A, 0)), INDEX(대여현황!D:D, MATCH($A177, 대여현황!$A:$A, 0)), "")</f>
        <v/>
      </c>
      <c r="E177" s="10" t="str">
        <f>IF(ISNUMBER(MATCH($A177, 대여현황!$A:$A, 0)), INDEX(대여현황!E:E, MATCH($A177, 대여현황!$A:$A, 0)), "")</f>
        <v/>
      </c>
      <c r="F177" s="22" t="str">
        <f>IF(ISNUMBER(MATCH($A177, 대여현황!$A:$A, 0)), INDEX(대여현황!F:F, MATCH($A177, 대여현황!$A:$A, 0)), "-")</f>
        <v>-</v>
      </c>
    </row>
    <row r="178" spans="1:6" ht="20" customHeight="1">
      <c r="A178" s="9"/>
      <c r="B178" s="3"/>
      <c r="C178" s="9" t="str">
        <f>IF(ISNUMBER(MATCH($A178, 대여현황!$A:$A, 0)), INDEX(대여현황!C:C, MATCH($A178, 대여현황!$A:$A, 0)), "")</f>
        <v/>
      </c>
      <c r="D178" s="9" t="str">
        <f>IF(ISNUMBER(MATCH($A178, 대여현황!$A:$A, 0)), INDEX(대여현황!D:D, MATCH($A178, 대여현황!$A:$A, 0)), "")</f>
        <v/>
      </c>
      <c r="E178" s="10" t="str">
        <f>IF(ISNUMBER(MATCH($A178, 대여현황!$A:$A, 0)), INDEX(대여현황!E:E, MATCH($A178, 대여현황!$A:$A, 0)), "")</f>
        <v/>
      </c>
      <c r="F178" s="22" t="str">
        <f>IF(ISNUMBER(MATCH($A178, 대여현황!$A:$A, 0)), INDEX(대여현황!F:F, MATCH($A178, 대여현황!$A:$A, 0)), "-")</f>
        <v>-</v>
      </c>
    </row>
    <row r="179" spans="1:6" ht="20" customHeight="1">
      <c r="A179" s="9"/>
      <c r="B179" s="3"/>
      <c r="C179" s="9" t="str">
        <f>IF(ISNUMBER(MATCH($A179, 대여현황!$A:$A, 0)), INDEX(대여현황!C:C, MATCH($A179, 대여현황!$A:$A, 0)), "")</f>
        <v/>
      </c>
      <c r="D179" s="9" t="str">
        <f>IF(ISNUMBER(MATCH($A179, 대여현황!$A:$A, 0)), INDEX(대여현황!D:D, MATCH($A179, 대여현황!$A:$A, 0)), "")</f>
        <v/>
      </c>
      <c r="E179" s="10" t="str">
        <f>IF(ISNUMBER(MATCH($A179, 대여현황!$A:$A, 0)), INDEX(대여현황!E:E, MATCH($A179, 대여현황!$A:$A, 0)), "")</f>
        <v/>
      </c>
      <c r="F179" s="22" t="str">
        <f>IF(ISNUMBER(MATCH($A179, 대여현황!$A:$A, 0)), INDEX(대여현황!F:F, MATCH($A179, 대여현황!$A:$A, 0)), "-")</f>
        <v>-</v>
      </c>
    </row>
    <row r="180" spans="1:6" ht="20" customHeight="1">
      <c r="A180" s="9"/>
      <c r="B180" s="3"/>
      <c r="C180" s="9" t="str">
        <f>IF(ISNUMBER(MATCH($A180, 대여현황!$A:$A, 0)), INDEX(대여현황!C:C, MATCH($A180, 대여현황!$A:$A, 0)), "")</f>
        <v/>
      </c>
      <c r="D180" s="9" t="str">
        <f>IF(ISNUMBER(MATCH($A180, 대여현황!$A:$A, 0)), INDEX(대여현황!D:D, MATCH($A180, 대여현황!$A:$A, 0)), "")</f>
        <v/>
      </c>
      <c r="E180" s="10" t="str">
        <f>IF(ISNUMBER(MATCH($A180, 대여현황!$A:$A, 0)), INDEX(대여현황!E:E, MATCH($A180, 대여현황!$A:$A, 0)), "")</f>
        <v/>
      </c>
      <c r="F180" s="22" t="str">
        <f>IF(ISNUMBER(MATCH($A180, 대여현황!$A:$A, 0)), INDEX(대여현황!F:F, MATCH($A180, 대여현황!$A:$A, 0)), "-")</f>
        <v>-</v>
      </c>
    </row>
    <row r="181" spans="1:6" ht="20" customHeight="1">
      <c r="A181" s="9"/>
      <c r="B181" s="3"/>
      <c r="C181" s="9" t="str">
        <f>IF(ISNUMBER(MATCH($A181, 대여현황!$A:$A, 0)), INDEX(대여현황!C:C, MATCH($A181, 대여현황!$A:$A, 0)), "")</f>
        <v/>
      </c>
      <c r="D181" s="9" t="str">
        <f>IF(ISNUMBER(MATCH($A181, 대여현황!$A:$A, 0)), INDEX(대여현황!D:D, MATCH($A181, 대여현황!$A:$A, 0)), "")</f>
        <v/>
      </c>
      <c r="E181" s="10" t="str">
        <f>IF(ISNUMBER(MATCH($A181, 대여현황!$A:$A, 0)), INDEX(대여현황!E:E, MATCH($A181, 대여현황!$A:$A, 0)), "")</f>
        <v/>
      </c>
      <c r="F181" s="22" t="str">
        <f>IF(ISNUMBER(MATCH($A181, 대여현황!$A:$A, 0)), INDEX(대여현황!F:F, MATCH($A181, 대여현황!$A:$A, 0)), "-")</f>
        <v>-</v>
      </c>
    </row>
    <row r="182" spans="1:6" ht="20" customHeight="1">
      <c r="A182" s="9"/>
      <c r="B182" s="3"/>
      <c r="C182" s="9" t="str">
        <f>IF(ISNUMBER(MATCH($A182, 대여현황!$A:$A, 0)), INDEX(대여현황!C:C, MATCH($A182, 대여현황!$A:$A, 0)), "")</f>
        <v/>
      </c>
      <c r="D182" s="9" t="str">
        <f>IF(ISNUMBER(MATCH($A182, 대여현황!$A:$A, 0)), INDEX(대여현황!D:D, MATCH($A182, 대여현황!$A:$A, 0)), "")</f>
        <v/>
      </c>
      <c r="E182" s="10" t="str">
        <f>IF(ISNUMBER(MATCH($A182, 대여현황!$A:$A, 0)), INDEX(대여현황!E:E, MATCH($A182, 대여현황!$A:$A, 0)), "")</f>
        <v/>
      </c>
      <c r="F182" s="22" t="str">
        <f>IF(ISNUMBER(MATCH($A182, 대여현황!$A:$A, 0)), INDEX(대여현황!F:F, MATCH($A182, 대여현황!$A:$A, 0)), "-")</f>
        <v>-</v>
      </c>
    </row>
    <row r="183" spans="1:6" ht="20" customHeight="1">
      <c r="A183" s="9"/>
      <c r="B183" s="3"/>
      <c r="C183" s="9" t="str">
        <f>IF(ISNUMBER(MATCH($A183, 대여현황!$A:$A, 0)), INDEX(대여현황!C:C, MATCH($A183, 대여현황!$A:$A, 0)), "")</f>
        <v/>
      </c>
      <c r="D183" s="9" t="str">
        <f>IF(ISNUMBER(MATCH($A183, 대여현황!$A:$A, 0)), INDEX(대여현황!D:D, MATCH($A183, 대여현황!$A:$A, 0)), "")</f>
        <v/>
      </c>
      <c r="E183" s="10" t="str">
        <f>IF(ISNUMBER(MATCH($A183, 대여현황!$A:$A, 0)), INDEX(대여현황!E:E, MATCH($A183, 대여현황!$A:$A, 0)), "")</f>
        <v/>
      </c>
      <c r="F183" s="22" t="str">
        <f>IF(ISNUMBER(MATCH($A183, 대여현황!$A:$A, 0)), INDEX(대여현황!F:F, MATCH($A183, 대여현황!$A:$A, 0)), "-")</f>
        <v>-</v>
      </c>
    </row>
    <row r="184" spans="1:6" ht="20" customHeight="1">
      <c r="A184" s="9"/>
      <c r="B184" s="3"/>
      <c r="C184" s="9" t="str">
        <f>IF(ISNUMBER(MATCH($A184, 대여현황!$A:$A, 0)), INDEX(대여현황!C:C, MATCH($A184, 대여현황!$A:$A, 0)), "")</f>
        <v/>
      </c>
      <c r="D184" s="9" t="str">
        <f>IF(ISNUMBER(MATCH($A184, 대여현황!$A:$A, 0)), INDEX(대여현황!D:D, MATCH($A184, 대여현황!$A:$A, 0)), "")</f>
        <v/>
      </c>
      <c r="E184" s="10" t="str">
        <f>IF(ISNUMBER(MATCH($A184, 대여현황!$A:$A, 0)), INDEX(대여현황!E:E, MATCH($A184, 대여현황!$A:$A, 0)), "")</f>
        <v/>
      </c>
      <c r="F184" s="22" t="str">
        <f>IF(ISNUMBER(MATCH($A184, 대여현황!$A:$A, 0)), INDEX(대여현황!F:F, MATCH($A184, 대여현황!$A:$A, 0)), "-")</f>
        <v>-</v>
      </c>
    </row>
    <row r="185" spans="1:6" ht="20" customHeight="1">
      <c r="A185" s="9"/>
      <c r="B185" s="3"/>
      <c r="C185" s="9" t="str">
        <f>IF(ISNUMBER(MATCH($A185, 대여현황!$A:$A, 0)), INDEX(대여현황!C:C, MATCH($A185, 대여현황!$A:$A, 0)), "")</f>
        <v/>
      </c>
      <c r="D185" s="9" t="str">
        <f>IF(ISNUMBER(MATCH($A185, 대여현황!$A:$A, 0)), INDEX(대여현황!D:D, MATCH($A185, 대여현황!$A:$A, 0)), "")</f>
        <v/>
      </c>
      <c r="E185" s="10" t="str">
        <f>IF(ISNUMBER(MATCH($A185, 대여현황!$A:$A, 0)), INDEX(대여현황!E:E, MATCH($A185, 대여현황!$A:$A, 0)), "")</f>
        <v/>
      </c>
      <c r="F185" s="22" t="str">
        <f>IF(ISNUMBER(MATCH($A185, 대여현황!$A:$A, 0)), INDEX(대여현황!F:F, MATCH($A185, 대여현황!$A:$A, 0)), "-")</f>
        <v>-</v>
      </c>
    </row>
    <row r="186" spans="1:6" ht="20" customHeight="1">
      <c r="A186" s="9"/>
      <c r="B186" s="3"/>
      <c r="C186" s="9" t="str">
        <f>IF(ISNUMBER(MATCH($A186, 대여현황!$A:$A, 0)), INDEX(대여현황!C:C, MATCH($A186, 대여현황!$A:$A, 0)), "")</f>
        <v/>
      </c>
      <c r="D186" s="9" t="str">
        <f>IF(ISNUMBER(MATCH($A186, 대여현황!$A:$A, 0)), INDEX(대여현황!D:D, MATCH($A186, 대여현황!$A:$A, 0)), "")</f>
        <v/>
      </c>
      <c r="E186" s="10" t="str">
        <f>IF(ISNUMBER(MATCH($A186, 대여현황!$A:$A, 0)), INDEX(대여현황!E:E, MATCH($A186, 대여현황!$A:$A, 0)), "")</f>
        <v/>
      </c>
      <c r="F186" s="22" t="str">
        <f>IF(ISNUMBER(MATCH($A186, 대여현황!$A:$A, 0)), INDEX(대여현황!F:F, MATCH($A186, 대여현황!$A:$A, 0)), "-")</f>
        <v>-</v>
      </c>
    </row>
    <row r="187" spans="1:6" ht="20" customHeight="1">
      <c r="A187" s="9"/>
      <c r="B187" s="3"/>
      <c r="C187" s="9" t="str">
        <f>IF(ISNUMBER(MATCH($A187, 대여현황!$A:$A, 0)), INDEX(대여현황!C:C, MATCH($A187, 대여현황!$A:$A, 0)), "")</f>
        <v/>
      </c>
      <c r="D187" s="9" t="str">
        <f>IF(ISNUMBER(MATCH($A187, 대여현황!$A:$A, 0)), INDEX(대여현황!D:D, MATCH($A187, 대여현황!$A:$A, 0)), "")</f>
        <v/>
      </c>
      <c r="E187" s="10" t="str">
        <f>IF(ISNUMBER(MATCH($A187, 대여현황!$A:$A, 0)), INDEX(대여현황!E:E, MATCH($A187, 대여현황!$A:$A, 0)), "")</f>
        <v/>
      </c>
      <c r="F187" s="22" t="str">
        <f>IF(ISNUMBER(MATCH($A187, 대여현황!$A:$A, 0)), INDEX(대여현황!F:F, MATCH($A187, 대여현황!$A:$A, 0)), "-")</f>
        <v>-</v>
      </c>
    </row>
    <row r="188" spans="1:6" ht="20" customHeight="1">
      <c r="A188" s="9"/>
      <c r="B188" s="3"/>
      <c r="C188" s="9" t="str">
        <f>IF(ISNUMBER(MATCH($A188, 대여현황!$A:$A, 0)), INDEX(대여현황!C:C, MATCH($A188, 대여현황!$A:$A, 0)), "")</f>
        <v/>
      </c>
      <c r="D188" s="9" t="str">
        <f>IF(ISNUMBER(MATCH($A188, 대여현황!$A:$A, 0)), INDEX(대여현황!D:D, MATCH($A188, 대여현황!$A:$A, 0)), "")</f>
        <v/>
      </c>
      <c r="E188" s="10" t="str">
        <f>IF(ISNUMBER(MATCH($A188, 대여현황!$A:$A, 0)), INDEX(대여현황!E:E, MATCH($A188, 대여현황!$A:$A, 0)), "")</f>
        <v/>
      </c>
      <c r="F188" s="22" t="str">
        <f>IF(ISNUMBER(MATCH($A188, 대여현황!$A:$A, 0)), INDEX(대여현황!F:F, MATCH($A188, 대여현황!$A:$A, 0)), "-")</f>
        <v>-</v>
      </c>
    </row>
    <row r="189" spans="1:6" ht="20" customHeight="1">
      <c r="A189" s="9"/>
      <c r="B189" s="3"/>
      <c r="C189" s="9" t="str">
        <f>IF(ISNUMBER(MATCH($A189, 대여현황!$A:$A, 0)), INDEX(대여현황!C:C, MATCH($A189, 대여현황!$A:$A, 0)), "")</f>
        <v/>
      </c>
      <c r="D189" s="9" t="str">
        <f>IF(ISNUMBER(MATCH($A189, 대여현황!$A:$A, 0)), INDEX(대여현황!D:D, MATCH($A189, 대여현황!$A:$A, 0)), "")</f>
        <v/>
      </c>
      <c r="E189" s="10" t="str">
        <f>IF(ISNUMBER(MATCH($A189, 대여현황!$A:$A, 0)), INDEX(대여현황!E:E, MATCH($A189, 대여현황!$A:$A, 0)), "")</f>
        <v/>
      </c>
      <c r="F189" s="22" t="str">
        <f>IF(ISNUMBER(MATCH($A189, 대여현황!$A:$A, 0)), INDEX(대여현황!F:F, MATCH($A189, 대여현황!$A:$A, 0)), "-")</f>
        <v>-</v>
      </c>
    </row>
    <row r="190" spans="1:6" ht="20" customHeight="1">
      <c r="A190" s="9"/>
      <c r="B190" s="3"/>
      <c r="C190" s="9" t="str">
        <f>IF(ISNUMBER(MATCH($A190, 대여현황!$A:$A, 0)), INDEX(대여현황!C:C, MATCH($A190, 대여현황!$A:$A, 0)), "")</f>
        <v/>
      </c>
      <c r="D190" s="9" t="str">
        <f>IF(ISNUMBER(MATCH($A190, 대여현황!$A:$A, 0)), INDEX(대여현황!D:D, MATCH($A190, 대여현황!$A:$A, 0)), "")</f>
        <v/>
      </c>
      <c r="E190" s="10" t="str">
        <f>IF(ISNUMBER(MATCH($A190, 대여현황!$A:$A, 0)), INDEX(대여현황!E:E, MATCH($A190, 대여현황!$A:$A, 0)), "")</f>
        <v/>
      </c>
      <c r="F190" s="22" t="str">
        <f>IF(ISNUMBER(MATCH($A190, 대여현황!$A:$A, 0)), INDEX(대여현황!F:F, MATCH($A190, 대여현황!$A:$A, 0)), "-")</f>
        <v>-</v>
      </c>
    </row>
    <row r="191" spans="1:6" ht="20" customHeight="1">
      <c r="A191" s="9"/>
      <c r="B191" s="3"/>
      <c r="C191" s="9" t="str">
        <f>IF(ISNUMBER(MATCH($A191, 대여현황!$A:$A, 0)), INDEX(대여현황!C:C, MATCH($A191, 대여현황!$A:$A, 0)), "")</f>
        <v/>
      </c>
      <c r="D191" s="9" t="str">
        <f>IF(ISNUMBER(MATCH($A191, 대여현황!$A:$A, 0)), INDEX(대여현황!D:D, MATCH($A191, 대여현황!$A:$A, 0)), "")</f>
        <v/>
      </c>
      <c r="E191" s="10" t="str">
        <f>IF(ISNUMBER(MATCH($A191, 대여현황!$A:$A, 0)), INDEX(대여현황!E:E, MATCH($A191, 대여현황!$A:$A, 0)), "")</f>
        <v/>
      </c>
      <c r="F191" s="22" t="str">
        <f>IF(ISNUMBER(MATCH($A191, 대여현황!$A:$A, 0)), INDEX(대여현황!F:F, MATCH($A191, 대여현황!$A:$A, 0)), "-")</f>
        <v>-</v>
      </c>
    </row>
    <row r="192" spans="1:6" ht="20" customHeight="1">
      <c r="A192" s="9"/>
      <c r="B192" s="3"/>
      <c r="C192" s="9" t="str">
        <f>IF(ISNUMBER(MATCH($A192, 대여현황!$A:$A, 0)), INDEX(대여현황!C:C, MATCH($A192, 대여현황!$A:$A, 0)), "")</f>
        <v/>
      </c>
      <c r="D192" s="9" t="str">
        <f>IF(ISNUMBER(MATCH($A192, 대여현황!$A:$A, 0)), INDEX(대여현황!D:D, MATCH($A192, 대여현황!$A:$A, 0)), "")</f>
        <v/>
      </c>
      <c r="E192" s="10" t="str">
        <f>IF(ISNUMBER(MATCH($A192, 대여현황!$A:$A, 0)), INDEX(대여현황!E:E, MATCH($A192, 대여현황!$A:$A, 0)), "")</f>
        <v/>
      </c>
      <c r="F192" s="22" t="str">
        <f>IF(ISNUMBER(MATCH($A192, 대여현황!$A:$A, 0)), INDEX(대여현황!F:F, MATCH($A192, 대여현황!$A:$A, 0)), "-")</f>
        <v>-</v>
      </c>
    </row>
    <row r="193" spans="1:6" ht="20" customHeight="1">
      <c r="A193" s="9"/>
      <c r="B193" s="3"/>
      <c r="C193" s="9" t="str">
        <f>IF(ISNUMBER(MATCH($A193, 대여현황!$A:$A, 0)), INDEX(대여현황!C:C, MATCH($A193, 대여현황!$A:$A, 0)), "")</f>
        <v/>
      </c>
      <c r="D193" s="9" t="str">
        <f>IF(ISNUMBER(MATCH($A193, 대여현황!$A:$A, 0)), INDEX(대여현황!D:D, MATCH($A193, 대여현황!$A:$A, 0)), "")</f>
        <v/>
      </c>
      <c r="E193" s="10" t="str">
        <f>IF(ISNUMBER(MATCH($A193, 대여현황!$A:$A, 0)), INDEX(대여현황!E:E, MATCH($A193, 대여현황!$A:$A, 0)), "")</f>
        <v/>
      </c>
      <c r="F193" s="22" t="str">
        <f>IF(ISNUMBER(MATCH($A193, 대여현황!$A:$A, 0)), INDEX(대여현황!F:F, MATCH($A193, 대여현황!$A:$A, 0)), "-")</f>
        <v>-</v>
      </c>
    </row>
    <row r="194" spans="1:6" ht="20" customHeight="1">
      <c r="A194" s="9"/>
      <c r="B194" s="3"/>
      <c r="C194" s="9" t="str">
        <f>IF(ISNUMBER(MATCH($A194, 대여현황!$A:$A, 0)), INDEX(대여현황!C:C, MATCH($A194, 대여현황!$A:$A, 0)), "")</f>
        <v/>
      </c>
      <c r="D194" s="9" t="str">
        <f>IF(ISNUMBER(MATCH($A194, 대여현황!$A:$A, 0)), INDEX(대여현황!D:D, MATCH($A194, 대여현황!$A:$A, 0)), "")</f>
        <v/>
      </c>
      <c r="E194" s="10" t="str">
        <f>IF(ISNUMBER(MATCH($A194, 대여현황!$A:$A, 0)), INDEX(대여현황!E:E, MATCH($A194, 대여현황!$A:$A, 0)), "")</f>
        <v/>
      </c>
      <c r="F194" s="22" t="str">
        <f>IF(ISNUMBER(MATCH($A194, 대여현황!$A:$A, 0)), INDEX(대여현황!F:F, MATCH($A194, 대여현황!$A:$A, 0)), "-")</f>
        <v>-</v>
      </c>
    </row>
    <row r="195" spans="1:6" ht="20" customHeight="1">
      <c r="A195" s="9"/>
      <c r="B195" s="3"/>
      <c r="C195" s="9" t="str">
        <f>IF(ISNUMBER(MATCH($A195, 대여현황!$A:$A, 0)), INDEX(대여현황!C:C, MATCH($A195, 대여현황!$A:$A, 0)), "")</f>
        <v/>
      </c>
      <c r="D195" s="9" t="str">
        <f>IF(ISNUMBER(MATCH($A195, 대여현황!$A:$A, 0)), INDEX(대여현황!D:D, MATCH($A195, 대여현황!$A:$A, 0)), "")</f>
        <v/>
      </c>
      <c r="E195" s="10" t="str">
        <f>IF(ISNUMBER(MATCH($A195, 대여현황!$A:$A, 0)), INDEX(대여현황!E:E, MATCH($A195, 대여현황!$A:$A, 0)), "")</f>
        <v/>
      </c>
      <c r="F195" s="22" t="str">
        <f>IF(ISNUMBER(MATCH($A195, 대여현황!$A:$A, 0)), INDEX(대여현황!F:F, MATCH($A195, 대여현황!$A:$A, 0)), "-")</f>
        <v>-</v>
      </c>
    </row>
    <row r="196" spans="1:6" ht="20" customHeight="1">
      <c r="A196" s="9"/>
      <c r="B196" s="3"/>
      <c r="C196" s="9" t="str">
        <f>IF(ISNUMBER(MATCH($A196, 대여현황!$A:$A, 0)), INDEX(대여현황!C:C, MATCH($A196, 대여현황!$A:$A, 0)), "")</f>
        <v/>
      </c>
      <c r="D196" s="9" t="str">
        <f>IF(ISNUMBER(MATCH($A196, 대여현황!$A:$A, 0)), INDEX(대여현황!D:D, MATCH($A196, 대여현황!$A:$A, 0)), "")</f>
        <v/>
      </c>
      <c r="E196" s="10" t="str">
        <f>IF(ISNUMBER(MATCH($A196, 대여현황!$A:$A, 0)), INDEX(대여현황!E:E, MATCH($A196, 대여현황!$A:$A, 0)), "")</f>
        <v/>
      </c>
      <c r="F196" s="22" t="str">
        <f>IF(ISNUMBER(MATCH($A196, 대여현황!$A:$A, 0)), INDEX(대여현황!F:F, MATCH($A196, 대여현황!$A:$A, 0)), "-")</f>
        <v>-</v>
      </c>
    </row>
    <row r="197" spans="1:6" ht="20" customHeight="1">
      <c r="A197" s="9"/>
      <c r="B197" s="3"/>
      <c r="C197" s="9" t="str">
        <f>IF(ISNUMBER(MATCH($A197, 대여현황!$A:$A, 0)), INDEX(대여현황!C:C, MATCH($A197, 대여현황!$A:$A, 0)), "")</f>
        <v/>
      </c>
      <c r="D197" s="9" t="str">
        <f>IF(ISNUMBER(MATCH($A197, 대여현황!$A:$A, 0)), INDEX(대여현황!D:D, MATCH($A197, 대여현황!$A:$A, 0)), "")</f>
        <v/>
      </c>
      <c r="E197" s="10" t="str">
        <f>IF(ISNUMBER(MATCH($A197, 대여현황!$A:$A, 0)), INDEX(대여현황!E:E, MATCH($A197, 대여현황!$A:$A, 0)), "")</f>
        <v/>
      </c>
      <c r="F197" s="22" t="str">
        <f>IF(ISNUMBER(MATCH($A197, 대여현황!$A:$A, 0)), INDEX(대여현황!F:F, MATCH($A197, 대여현황!$A:$A, 0)), "-")</f>
        <v>-</v>
      </c>
    </row>
    <row r="198" spans="1:6" ht="20" customHeight="1">
      <c r="A198" s="9"/>
      <c r="B198" s="3"/>
      <c r="C198" s="9" t="str">
        <f>IF(ISNUMBER(MATCH($A198, 대여현황!$A:$A, 0)), INDEX(대여현황!C:C, MATCH($A198, 대여현황!$A:$A, 0)), "")</f>
        <v/>
      </c>
      <c r="D198" s="9" t="str">
        <f>IF(ISNUMBER(MATCH($A198, 대여현황!$A:$A, 0)), INDEX(대여현황!D:D, MATCH($A198, 대여현황!$A:$A, 0)), "")</f>
        <v/>
      </c>
      <c r="E198" s="10" t="str">
        <f>IF(ISNUMBER(MATCH($A198, 대여현황!$A:$A, 0)), INDEX(대여현황!E:E, MATCH($A198, 대여현황!$A:$A, 0)), "")</f>
        <v/>
      </c>
      <c r="F198" s="22" t="str">
        <f>IF(ISNUMBER(MATCH($A198, 대여현황!$A:$A, 0)), INDEX(대여현황!F:F, MATCH($A198, 대여현황!$A:$A, 0)), "-")</f>
        <v>-</v>
      </c>
    </row>
    <row r="199" spans="1:6" ht="20" customHeight="1">
      <c r="A199" s="9"/>
      <c r="B199" s="3"/>
      <c r="C199" s="9" t="str">
        <f>IF(ISNUMBER(MATCH($A199, 대여현황!$A:$A, 0)), INDEX(대여현황!C:C, MATCH($A199, 대여현황!$A:$A, 0)), "")</f>
        <v/>
      </c>
      <c r="D199" s="9" t="str">
        <f>IF(ISNUMBER(MATCH($A199, 대여현황!$A:$A, 0)), INDEX(대여현황!D:D, MATCH($A199, 대여현황!$A:$A, 0)), "")</f>
        <v/>
      </c>
      <c r="E199" s="10" t="str">
        <f>IF(ISNUMBER(MATCH($A199, 대여현황!$A:$A, 0)), INDEX(대여현황!E:E, MATCH($A199, 대여현황!$A:$A, 0)), "")</f>
        <v/>
      </c>
      <c r="F199" s="22" t="str">
        <f>IF(ISNUMBER(MATCH($A199, 대여현황!$A:$A, 0)), INDEX(대여현황!F:F, MATCH($A199, 대여현황!$A:$A, 0)), "-")</f>
        <v>-</v>
      </c>
    </row>
    <row r="200" spans="1:6" ht="20" customHeight="1">
      <c r="A200" s="9"/>
      <c r="B200" s="3"/>
      <c r="C200" s="9" t="str">
        <f>IF(ISNUMBER(MATCH($A200, 대여현황!$A:$A, 0)), INDEX(대여현황!C:C, MATCH($A200, 대여현황!$A:$A, 0)), "")</f>
        <v/>
      </c>
      <c r="D200" s="9" t="str">
        <f>IF(ISNUMBER(MATCH($A200, 대여현황!$A:$A, 0)), INDEX(대여현황!D:D, MATCH($A200, 대여현황!$A:$A, 0)), "")</f>
        <v/>
      </c>
      <c r="E200" s="10" t="str">
        <f>IF(ISNUMBER(MATCH($A200, 대여현황!$A:$A, 0)), INDEX(대여현황!E:E, MATCH($A200, 대여현황!$A:$A, 0)), "")</f>
        <v/>
      </c>
      <c r="F200" s="22" t="str">
        <f>IF(ISNUMBER(MATCH($A200, 대여현황!$A:$A, 0)), INDEX(대여현황!F:F, MATCH($A200, 대여현황!$A:$A, 0)), "-")</f>
        <v>-</v>
      </c>
    </row>
  </sheetData>
  <autoFilter ref="A2:F200" xr:uid="{DB86BF0D-D9F0-D245-97CF-00F7AD0D6A35}"/>
  <mergeCells count="6">
    <mergeCell ref="Q1:R2"/>
    <mergeCell ref="A1:F1"/>
    <mergeCell ref="H1:I2"/>
    <mergeCell ref="J1:K2"/>
    <mergeCell ref="L1:M2"/>
    <mergeCell ref="O1:P2"/>
  </mergeCells>
  <phoneticPr fontId="4" type="noConversion"/>
  <conditionalFormatting sqref="A1:F1048576">
    <cfRule type="expression" dxfId="5" priority="1">
      <formula>$F1="소실"</formula>
    </cfRule>
    <cfRule type="expression" dxfId="4" priority="2">
      <formula>$F1="일반대여"</formula>
    </cfRule>
    <cfRule type="expression" dxfId="3" priority="3">
      <formula>$F1="장기대여"</formula>
    </cfRule>
  </conditionalFormatting>
  <hyperlinks>
    <hyperlink ref="H1:I2" location="'TAM-T'!A1" display="TAM-T" xr:uid="{A9F0D1CF-A48C-944D-9178-4D9EF729D7D1}"/>
    <hyperlink ref="J1:K2" location="'TAM-A'!A1" display="TAM-A" xr:uid="{55702459-8E3E-5B44-B097-ED730B9DD081}"/>
    <hyperlink ref="L1:M2" location="'TAM-M'!A1" display="TAM-M" xr:uid="{6676725F-0875-3046-A572-BC2AD9035CAF}"/>
    <hyperlink ref="Q1:R2" location="'NA-A'!A1" display="NA-A" xr:uid="{D0C068AA-32B3-0D44-AA41-B69F1F21ED54}"/>
    <hyperlink ref="O1:P2" location="대여현황!A1" display="대여현황" xr:uid="{57CB7972-2ADC-4F49-8A4E-98DE1C91760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8A5F4-9A6C-B948-98FA-76DE05159603}">
  <sheetPr codeName="Sheet7"/>
  <dimension ref="A1:R200"/>
  <sheetViews>
    <sheetView workbookViewId="0">
      <pane ySplit="2" topLeftCell="A3" activePane="bottomLeft" state="frozen"/>
      <selection pane="bottomLeft" activeCell="I9" sqref="I9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38" t="s">
        <v>373</v>
      </c>
      <c r="B1" s="39"/>
      <c r="C1" s="39"/>
      <c r="D1" s="39"/>
      <c r="E1" s="39"/>
      <c r="F1" s="40"/>
      <c r="G1" s="1"/>
      <c r="H1" s="26" t="s">
        <v>381</v>
      </c>
      <c r="I1" s="27"/>
      <c r="J1" s="26" t="s">
        <v>382</v>
      </c>
      <c r="K1" s="27"/>
      <c r="L1" s="30" t="s">
        <v>383</v>
      </c>
      <c r="M1" s="31"/>
      <c r="N1" s="1"/>
      <c r="O1" s="30" t="s">
        <v>384</v>
      </c>
      <c r="P1" s="31"/>
      <c r="Q1" s="41" t="s">
        <v>387</v>
      </c>
      <c r="R1" s="42"/>
    </row>
    <row r="2" spans="1:18" ht="20" customHeight="1" thickBot="1">
      <c r="A2" s="12" t="s">
        <v>366</v>
      </c>
      <c r="B2" s="12" t="s">
        <v>146</v>
      </c>
      <c r="C2" s="12" t="s">
        <v>142</v>
      </c>
      <c r="D2" s="12" t="s">
        <v>138</v>
      </c>
      <c r="E2" s="13" t="s">
        <v>295</v>
      </c>
      <c r="F2" s="14" t="s">
        <v>367</v>
      </c>
      <c r="G2" s="1"/>
      <c r="H2" s="28"/>
      <c r="I2" s="29"/>
      <c r="J2" s="28"/>
      <c r="K2" s="29"/>
      <c r="L2" s="32"/>
      <c r="M2" s="33"/>
      <c r="N2" s="1"/>
      <c r="O2" s="32"/>
      <c r="P2" s="33"/>
      <c r="Q2" s="43"/>
      <c r="R2" s="44"/>
    </row>
    <row r="3" spans="1:18" ht="20" customHeight="1">
      <c r="A3" s="20">
        <v>441</v>
      </c>
      <c r="B3" s="21" t="s">
        <v>115</v>
      </c>
      <c r="C3" s="20" t="str">
        <f>IF(ISNUMBER(MATCH($A3, 대여현황!$A:$A, 0)), INDEX(대여현황!C:C, MATCH($A3, 대여현황!$A:$A, 0)), "")</f>
        <v/>
      </c>
      <c r="D3" s="20" t="str">
        <f>IF(ISNUMBER(MATCH($A3, 대여현황!$A:$A, 0)), INDEX(대여현황!D:D, MATCH($A3, 대여현황!$A:$A, 0)), "")</f>
        <v/>
      </c>
      <c r="E3" s="22" t="str">
        <f>IF(ISNUMBER(MATCH($A3, 대여현황!$A:$A, 0)), INDEX(대여현황!E:E, MATCH($A3, 대여현황!$A:$A, 0)), "")</f>
        <v/>
      </c>
      <c r="F3" s="22" t="str">
        <f>IF(ISNUMBER(MATCH($A3, 대여현황!$A:$A, 0)), INDEX(대여현황!F:F, MATCH($A3, 대여현황!$A:$A, 0)), "-")</f>
        <v>-</v>
      </c>
    </row>
    <row r="4" spans="1:18" ht="20" customHeight="1">
      <c r="A4" s="20">
        <v>442</v>
      </c>
      <c r="B4" s="21" t="s">
        <v>362</v>
      </c>
      <c r="C4" s="20" t="str">
        <f>IF(ISNUMBER(MATCH($A4, 대여현황!$A:$A, 0)), INDEX(대여현황!C:C, MATCH($A4, 대여현황!$A:$A, 0)), "")</f>
        <v/>
      </c>
      <c r="D4" s="20" t="str">
        <f>IF(ISNUMBER(MATCH($A4, 대여현황!$A:$A, 0)), INDEX(대여현황!D:D, MATCH($A4, 대여현황!$A:$A, 0)), "")</f>
        <v/>
      </c>
      <c r="E4" s="22" t="str">
        <f>IF(ISNUMBER(MATCH($A4, 대여현황!$A:$A, 0)), INDEX(대여현황!E:E, MATCH($A4, 대여현황!$A:$A, 0)), "")</f>
        <v/>
      </c>
      <c r="F4" s="22" t="str">
        <f>IF(ISNUMBER(MATCH($A4, 대여현황!$A:$A, 0)), INDEX(대여현황!F:F, MATCH($A4, 대여현황!$A:$A, 0)), "-")</f>
        <v>-</v>
      </c>
    </row>
    <row r="5" spans="1:18" ht="20" customHeight="1">
      <c r="A5" s="20">
        <v>443</v>
      </c>
      <c r="B5" s="21" t="s">
        <v>198</v>
      </c>
      <c r="C5" s="20" t="str">
        <f>IF(ISNUMBER(MATCH($A5, 대여현황!$A:$A, 0)), INDEX(대여현황!C:C, MATCH($A5, 대여현황!$A:$A, 0)), "")</f>
        <v/>
      </c>
      <c r="D5" s="20" t="str">
        <f>IF(ISNUMBER(MATCH($A5, 대여현황!$A:$A, 0)), INDEX(대여현황!D:D, MATCH($A5, 대여현황!$A:$A, 0)), "")</f>
        <v/>
      </c>
      <c r="E5" s="22" t="str">
        <f>IF(ISNUMBER(MATCH($A5, 대여현황!$A:$A, 0)), INDEX(대여현황!E:E, MATCH($A5, 대여현황!$A:$A, 0)), "")</f>
        <v/>
      </c>
      <c r="F5" s="22" t="str">
        <f>IF(ISNUMBER(MATCH($A5, 대여현황!$A:$A, 0)), INDEX(대여현황!F:F, MATCH($A5, 대여현황!$A:$A, 0)), "-")</f>
        <v>-</v>
      </c>
    </row>
    <row r="6" spans="1:18" ht="20" customHeight="1">
      <c r="A6" s="20">
        <v>444</v>
      </c>
      <c r="B6" s="21" t="s">
        <v>118</v>
      </c>
      <c r="C6" s="20" t="str">
        <f>IF(ISNUMBER(MATCH($A6, 대여현황!$A:$A, 0)), INDEX(대여현황!C:C, MATCH($A6, 대여현황!$A:$A, 0)), "")</f>
        <v/>
      </c>
      <c r="D6" s="20" t="str">
        <f>IF(ISNUMBER(MATCH($A6, 대여현황!$A:$A, 0)), INDEX(대여현황!D:D, MATCH($A6, 대여현황!$A:$A, 0)), "")</f>
        <v/>
      </c>
      <c r="E6" s="22" t="str">
        <f>IF(ISNUMBER(MATCH($A6, 대여현황!$A:$A, 0)), INDEX(대여현황!E:E, MATCH($A6, 대여현황!$A:$A, 0)), "")</f>
        <v/>
      </c>
      <c r="F6" s="22" t="str">
        <f>IF(ISNUMBER(MATCH($A6, 대여현황!$A:$A, 0)), INDEX(대여현황!F:F, MATCH($A6, 대여현황!$A:$A, 0)), "-")</f>
        <v>-</v>
      </c>
    </row>
    <row r="7" spans="1:18" ht="20" customHeight="1">
      <c r="A7" s="20">
        <v>445</v>
      </c>
      <c r="B7" s="21" t="s">
        <v>83</v>
      </c>
      <c r="C7" s="20" t="str">
        <f>IF(ISNUMBER(MATCH($A7, 대여현황!$A:$A, 0)), INDEX(대여현황!C:C, MATCH($A7, 대여현황!$A:$A, 0)), "")</f>
        <v/>
      </c>
      <c r="D7" s="20" t="str">
        <f>IF(ISNUMBER(MATCH($A7, 대여현황!$A:$A, 0)), INDEX(대여현황!D:D, MATCH($A7, 대여현황!$A:$A, 0)), "")</f>
        <v/>
      </c>
      <c r="E7" s="22" t="str">
        <f>IF(ISNUMBER(MATCH($A7, 대여현황!$A:$A, 0)), INDEX(대여현황!E:E, MATCH($A7, 대여현황!$A:$A, 0)), "")</f>
        <v/>
      </c>
      <c r="F7" s="22" t="str">
        <f>IF(ISNUMBER(MATCH($A7, 대여현황!$A:$A, 0)), INDEX(대여현황!F:F, MATCH($A7, 대여현황!$A:$A, 0)), "-")</f>
        <v>-</v>
      </c>
    </row>
    <row r="8" spans="1:18" ht="20" customHeight="1">
      <c r="A8" s="20">
        <v>446</v>
      </c>
      <c r="B8" s="21" t="s">
        <v>206</v>
      </c>
      <c r="C8" s="20" t="str">
        <f>IF(ISNUMBER(MATCH($A8, 대여현황!$A:$A, 0)), INDEX(대여현황!C:C, MATCH($A8, 대여현황!$A:$A, 0)), "")</f>
        <v/>
      </c>
      <c r="D8" s="20" t="str">
        <f>IF(ISNUMBER(MATCH($A8, 대여현황!$A:$A, 0)), INDEX(대여현황!D:D, MATCH($A8, 대여현황!$A:$A, 0)), "")</f>
        <v/>
      </c>
      <c r="E8" s="22" t="str">
        <f>IF(ISNUMBER(MATCH($A8, 대여현황!$A:$A, 0)), INDEX(대여현황!E:E, MATCH($A8, 대여현황!$A:$A, 0)), "")</f>
        <v/>
      </c>
      <c r="F8" s="22" t="str">
        <f>IF(ISNUMBER(MATCH($A8, 대여현황!$A:$A, 0)), INDEX(대여현황!F:F, MATCH($A8, 대여현황!$A:$A, 0)), "-")</f>
        <v>-</v>
      </c>
    </row>
    <row r="9" spans="1:18" ht="20" customHeight="1">
      <c r="A9" s="20">
        <v>447</v>
      </c>
      <c r="B9" s="21" t="s">
        <v>258</v>
      </c>
      <c r="C9" s="20" t="str">
        <f>IF(ISNUMBER(MATCH($A9, 대여현황!$A:$A, 0)), INDEX(대여현황!C:C, MATCH($A9, 대여현황!$A:$A, 0)), "")</f>
        <v/>
      </c>
      <c r="D9" s="20" t="str">
        <f>IF(ISNUMBER(MATCH($A9, 대여현황!$A:$A, 0)), INDEX(대여현황!D:D, MATCH($A9, 대여현황!$A:$A, 0)), "")</f>
        <v/>
      </c>
      <c r="E9" s="22" t="str">
        <f>IF(ISNUMBER(MATCH($A9, 대여현황!$A:$A, 0)), INDEX(대여현황!E:E, MATCH($A9, 대여현황!$A:$A, 0)), "")</f>
        <v/>
      </c>
      <c r="F9" s="22" t="str">
        <f>IF(ISNUMBER(MATCH($A9, 대여현황!$A:$A, 0)), INDEX(대여현황!F:F, MATCH($A9, 대여현황!$A:$A, 0)), "-")</f>
        <v>-</v>
      </c>
    </row>
    <row r="10" spans="1:18" ht="20" customHeight="1">
      <c r="A10" s="20">
        <v>448</v>
      </c>
      <c r="B10" s="21" t="s">
        <v>219</v>
      </c>
      <c r="C10" s="20" t="str">
        <f>IF(ISNUMBER(MATCH($A10, 대여현황!$A:$A, 0)), INDEX(대여현황!C:C, MATCH($A10, 대여현황!$A:$A, 0)), "")</f>
        <v/>
      </c>
      <c r="D10" s="20" t="str">
        <f>IF(ISNUMBER(MATCH($A10, 대여현황!$A:$A, 0)), INDEX(대여현황!D:D, MATCH($A10, 대여현황!$A:$A, 0)), "")</f>
        <v/>
      </c>
      <c r="E10" s="22" t="str">
        <f>IF(ISNUMBER(MATCH($A10, 대여현황!$A:$A, 0)), INDEX(대여현황!E:E, MATCH($A10, 대여현황!$A:$A, 0)), "")</f>
        <v/>
      </c>
      <c r="F10" s="22" t="str">
        <f>IF(ISNUMBER(MATCH($A10, 대여현황!$A:$A, 0)), INDEX(대여현황!F:F, MATCH($A10, 대여현황!$A:$A, 0)), "-")</f>
        <v>-</v>
      </c>
    </row>
    <row r="11" spans="1:18" ht="20" customHeight="1">
      <c r="A11" s="20">
        <v>449</v>
      </c>
      <c r="B11" s="21" t="s">
        <v>116</v>
      </c>
      <c r="C11" s="20" t="str">
        <f>IF(ISNUMBER(MATCH($A11, 대여현황!$A:$A, 0)), INDEX(대여현황!C:C, MATCH($A11, 대여현황!$A:$A, 0)), "")</f>
        <v/>
      </c>
      <c r="D11" s="20" t="str">
        <f>IF(ISNUMBER(MATCH($A11, 대여현황!$A:$A, 0)), INDEX(대여현황!D:D, MATCH($A11, 대여현황!$A:$A, 0)), "")</f>
        <v/>
      </c>
      <c r="E11" s="22" t="str">
        <f>IF(ISNUMBER(MATCH($A11, 대여현황!$A:$A, 0)), INDEX(대여현황!E:E, MATCH($A11, 대여현황!$A:$A, 0)), "")</f>
        <v/>
      </c>
      <c r="F11" s="22" t="str">
        <f>IF(ISNUMBER(MATCH($A11, 대여현황!$A:$A, 0)), INDEX(대여현황!F:F, MATCH($A11, 대여현황!$A:$A, 0)), "-")</f>
        <v>-</v>
      </c>
    </row>
    <row r="12" spans="1:18" ht="20" customHeight="1">
      <c r="A12" s="20">
        <v>450</v>
      </c>
      <c r="B12" s="21" t="s">
        <v>363</v>
      </c>
      <c r="C12" s="20" t="str">
        <f>IF(ISNUMBER(MATCH($A12, 대여현황!$A:$A, 0)), INDEX(대여현황!C:C, MATCH($A12, 대여현황!$A:$A, 0)), "")</f>
        <v/>
      </c>
      <c r="D12" s="20" t="str">
        <f>IF(ISNUMBER(MATCH($A12, 대여현황!$A:$A, 0)), INDEX(대여현황!D:D, MATCH($A12, 대여현황!$A:$A, 0)), "")</f>
        <v/>
      </c>
      <c r="E12" s="22" t="str">
        <f>IF(ISNUMBER(MATCH($A12, 대여현황!$A:$A, 0)), INDEX(대여현황!E:E, MATCH($A12, 대여현황!$A:$A, 0)), "")</f>
        <v/>
      </c>
      <c r="F12" s="22" t="str">
        <f>IF(ISNUMBER(MATCH($A12, 대여현황!$A:$A, 0)), INDEX(대여현황!F:F, MATCH($A12, 대여현황!$A:$A, 0)), "-")</f>
        <v>-</v>
      </c>
    </row>
    <row r="13" spans="1:18" ht="20" customHeight="1">
      <c r="A13" s="20">
        <v>451</v>
      </c>
      <c r="B13" s="21" t="s">
        <v>203</v>
      </c>
      <c r="C13" s="20" t="str">
        <f>IF(ISNUMBER(MATCH($A13, 대여현황!$A:$A, 0)), INDEX(대여현황!C:C, MATCH($A13, 대여현황!$A:$A, 0)), "")</f>
        <v/>
      </c>
      <c r="D13" s="20" t="str">
        <f>IF(ISNUMBER(MATCH($A13, 대여현황!$A:$A, 0)), INDEX(대여현황!D:D, MATCH($A13, 대여현황!$A:$A, 0)), "")</f>
        <v/>
      </c>
      <c r="E13" s="22" t="str">
        <f>IF(ISNUMBER(MATCH($A13, 대여현황!$A:$A, 0)), INDEX(대여현황!E:E, MATCH($A13, 대여현황!$A:$A, 0)), "")</f>
        <v/>
      </c>
      <c r="F13" s="22" t="str">
        <f>IF(ISNUMBER(MATCH($A13, 대여현황!$A:$A, 0)), INDEX(대여현황!F:F, MATCH($A13, 대여현황!$A:$A, 0)), "-")</f>
        <v>-</v>
      </c>
    </row>
    <row r="14" spans="1:18" ht="20" customHeight="1">
      <c r="A14" s="20">
        <v>452</v>
      </c>
      <c r="B14" s="21" t="s">
        <v>87</v>
      </c>
      <c r="C14" s="20" t="str">
        <f>IF(ISNUMBER(MATCH($A14, 대여현황!$A:$A, 0)), INDEX(대여현황!C:C, MATCH($A14, 대여현황!$A:$A, 0)), "")</f>
        <v/>
      </c>
      <c r="D14" s="20" t="str">
        <f>IF(ISNUMBER(MATCH($A14, 대여현황!$A:$A, 0)), INDEX(대여현황!D:D, MATCH($A14, 대여현황!$A:$A, 0)), "")</f>
        <v/>
      </c>
      <c r="E14" s="22" t="str">
        <f>IF(ISNUMBER(MATCH($A14, 대여현황!$A:$A, 0)), INDEX(대여현황!E:E, MATCH($A14, 대여현황!$A:$A, 0)), "")</f>
        <v/>
      </c>
      <c r="F14" s="22" t="str">
        <f>IF(ISNUMBER(MATCH($A14, 대여현황!$A:$A, 0)), INDEX(대여현황!F:F, MATCH($A14, 대여현황!$A:$A, 0)), "-")</f>
        <v>-</v>
      </c>
    </row>
    <row r="15" spans="1:18" ht="20" customHeight="1">
      <c r="A15" s="20">
        <v>453</v>
      </c>
      <c r="B15" s="21" t="s">
        <v>201</v>
      </c>
      <c r="C15" s="20" t="str">
        <f>IF(ISNUMBER(MATCH($A15, 대여현황!$A:$A, 0)), INDEX(대여현황!C:C, MATCH($A15, 대여현황!$A:$A, 0)), "")</f>
        <v/>
      </c>
      <c r="D15" s="20" t="str">
        <f>IF(ISNUMBER(MATCH($A15, 대여현황!$A:$A, 0)), INDEX(대여현황!D:D, MATCH($A15, 대여현황!$A:$A, 0)), "")</f>
        <v/>
      </c>
      <c r="E15" s="22" t="str">
        <f>IF(ISNUMBER(MATCH($A15, 대여현황!$A:$A, 0)), INDEX(대여현황!E:E, MATCH($A15, 대여현황!$A:$A, 0)), "")</f>
        <v/>
      </c>
      <c r="F15" s="22" t="str">
        <f>IF(ISNUMBER(MATCH($A15, 대여현황!$A:$A, 0)), INDEX(대여현황!F:F, MATCH($A15, 대여현황!$A:$A, 0)), "-")</f>
        <v>-</v>
      </c>
    </row>
    <row r="16" spans="1:18" ht="20" customHeight="1">
      <c r="A16" s="20">
        <v>454</v>
      </c>
      <c r="B16" s="21" t="s">
        <v>108</v>
      </c>
      <c r="C16" s="20" t="str">
        <f>IF(ISNUMBER(MATCH($A16, 대여현황!$A:$A, 0)), INDEX(대여현황!C:C, MATCH($A16, 대여현황!$A:$A, 0)), "")</f>
        <v/>
      </c>
      <c r="D16" s="20" t="str">
        <f>IF(ISNUMBER(MATCH($A16, 대여현황!$A:$A, 0)), INDEX(대여현황!D:D, MATCH($A16, 대여현황!$A:$A, 0)), "")</f>
        <v/>
      </c>
      <c r="E16" s="22" t="str">
        <f>IF(ISNUMBER(MATCH($A16, 대여현황!$A:$A, 0)), INDEX(대여현황!E:E, MATCH($A16, 대여현황!$A:$A, 0)), "")</f>
        <v/>
      </c>
      <c r="F16" s="22" t="str">
        <f>IF(ISNUMBER(MATCH($A16, 대여현황!$A:$A, 0)), INDEX(대여현황!F:F, MATCH($A16, 대여현황!$A:$A, 0)), "-")</f>
        <v>-</v>
      </c>
    </row>
    <row r="17" spans="1:6" ht="20" customHeight="1">
      <c r="A17" s="20">
        <v>455</v>
      </c>
      <c r="B17" s="21" t="s">
        <v>88</v>
      </c>
      <c r="C17" s="20" t="str">
        <f>IF(ISNUMBER(MATCH($A17, 대여현황!$A:$A, 0)), INDEX(대여현황!C:C, MATCH($A17, 대여현황!$A:$A, 0)), "")</f>
        <v/>
      </c>
      <c r="D17" s="20" t="str">
        <f>IF(ISNUMBER(MATCH($A17, 대여현황!$A:$A, 0)), INDEX(대여현황!D:D, MATCH($A17, 대여현황!$A:$A, 0)), "")</f>
        <v/>
      </c>
      <c r="E17" s="22" t="str">
        <f>IF(ISNUMBER(MATCH($A17, 대여현황!$A:$A, 0)), INDEX(대여현황!E:E, MATCH($A17, 대여현황!$A:$A, 0)), "")</f>
        <v/>
      </c>
      <c r="F17" s="22" t="str">
        <f>IF(ISNUMBER(MATCH($A17, 대여현황!$A:$A, 0)), INDEX(대여현황!F:F, MATCH($A17, 대여현황!$A:$A, 0)), "-")</f>
        <v>-</v>
      </c>
    </row>
    <row r="18" spans="1:6" ht="20" customHeight="1">
      <c r="A18" s="20">
        <v>456</v>
      </c>
      <c r="B18" s="21" t="s">
        <v>199</v>
      </c>
      <c r="C18" s="20" t="str">
        <f>IF(ISNUMBER(MATCH($A18, 대여현황!$A:$A, 0)), INDEX(대여현황!C:C, MATCH($A18, 대여현황!$A:$A, 0)), "")</f>
        <v/>
      </c>
      <c r="D18" s="20" t="str">
        <f>IF(ISNUMBER(MATCH($A18, 대여현황!$A:$A, 0)), INDEX(대여현황!D:D, MATCH($A18, 대여현황!$A:$A, 0)), "")</f>
        <v/>
      </c>
      <c r="E18" s="22" t="str">
        <f>IF(ISNUMBER(MATCH($A18, 대여현황!$A:$A, 0)), INDEX(대여현황!E:E, MATCH($A18, 대여현황!$A:$A, 0)), "")</f>
        <v/>
      </c>
      <c r="F18" s="22" t="str">
        <f>IF(ISNUMBER(MATCH($A18, 대여현황!$A:$A, 0)), INDEX(대여현황!F:F, MATCH($A18, 대여현황!$A:$A, 0)), "-")</f>
        <v>-</v>
      </c>
    </row>
    <row r="19" spans="1:6" ht="20" customHeight="1">
      <c r="A19" s="20">
        <v>457</v>
      </c>
      <c r="B19" s="21" t="s">
        <v>354</v>
      </c>
      <c r="C19" s="20" t="str">
        <f>IF(ISNUMBER(MATCH($A19, 대여현황!$A:$A, 0)), INDEX(대여현황!C:C, MATCH($A19, 대여현황!$A:$A, 0)), "")</f>
        <v/>
      </c>
      <c r="D19" s="20" t="str">
        <f>IF(ISNUMBER(MATCH($A19, 대여현황!$A:$A, 0)), INDEX(대여현황!D:D, MATCH($A19, 대여현황!$A:$A, 0)), "")</f>
        <v/>
      </c>
      <c r="E19" s="22" t="str">
        <f>IF(ISNUMBER(MATCH($A19, 대여현황!$A:$A, 0)), INDEX(대여현황!E:E, MATCH($A19, 대여현황!$A:$A, 0)), "")</f>
        <v/>
      </c>
      <c r="F19" s="22" t="str">
        <f>IF(ISNUMBER(MATCH($A19, 대여현황!$A:$A, 0)), INDEX(대여현황!F:F, MATCH($A19, 대여현황!$A:$A, 0)), "-")</f>
        <v>-</v>
      </c>
    </row>
    <row r="20" spans="1:6" ht="20" customHeight="1">
      <c r="A20" s="20">
        <v>458</v>
      </c>
      <c r="B20" s="21" t="s">
        <v>55</v>
      </c>
      <c r="C20" s="20" t="str">
        <f>IF(ISNUMBER(MATCH($A20, 대여현황!$A:$A, 0)), INDEX(대여현황!C:C, MATCH($A20, 대여현황!$A:$A, 0)), "")</f>
        <v/>
      </c>
      <c r="D20" s="20" t="str">
        <f>IF(ISNUMBER(MATCH($A20, 대여현황!$A:$A, 0)), INDEX(대여현황!D:D, MATCH($A20, 대여현황!$A:$A, 0)), "")</f>
        <v/>
      </c>
      <c r="E20" s="22" t="str">
        <f>IF(ISNUMBER(MATCH($A20, 대여현황!$A:$A, 0)), INDEX(대여현황!E:E, MATCH($A20, 대여현황!$A:$A, 0)), "")</f>
        <v/>
      </c>
      <c r="F20" s="22" t="str">
        <f>IF(ISNUMBER(MATCH($A20, 대여현황!$A:$A, 0)), INDEX(대여현황!F:F, MATCH($A20, 대여현황!$A:$A, 0)), "-")</f>
        <v>-</v>
      </c>
    </row>
    <row r="21" spans="1:6" ht="20" customHeight="1">
      <c r="A21" s="20">
        <v>459</v>
      </c>
      <c r="B21" s="21" t="s">
        <v>252</v>
      </c>
      <c r="C21" s="20" t="str">
        <f>IF(ISNUMBER(MATCH($A21, 대여현황!$A:$A, 0)), INDEX(대여현황!C:C, MATCH($A21, 대여현황!$A:$A, 0)), "")</f>
        <v/>
      </c>
      <c r="D21" s="20" t="str">
        <f>IF(ISNUMBER(MATCH($A21, 대여현황!$A:$A, 0)), INDEX(대여현황!D:D, MATCH($A21, 대여현황!$A:$A, 0)), "")</f>
        <v/>
      </c>
      <c r="E21" s="22" t="str">
        <f>IF(ISNUMBER(MATCH($A21, 대여현황!$A:$A, 0)), INDEX(대여현황!E:E, MATCH($A21, 대여현황!$A:$A, 0)), "")</f>
        <v/>
      </c>
      <c r="F21" s="22" t="str">
        <f>IF(ISNUMBER(MATCH($A21, 대여현황!$A:$A, 0)), INDEX(대여현황!F:F, MATCH($A21, 대여현황!$A:$A, 0)), "-")</f>
        <v>-</v>
      </c>
    </row>
    <row r="22" spans="1:6" ht="20" customHeight="1">
      <c r="A22" s="20">
        <v>460</v>
      </c>
      <c r="B22" s="21" t="s">
        <v>345</v>
      </c>
      <c r="C22" s="20" t="str">
        <f>IF(ISNUMBER(MATCH($A22, 대여현황!$A:$A, 0)), INDEX(대여현황!C:C, MATCH($A22, 대여현황!$A:$A, 0)), "")</f>
        <v/>
      </c>
      <c r="D22" s="20" t="str">
        <f>IF(ISNUMBER(MATCH($A22, 대여현황!$A:$A, 0)), INDEX(대여현황!D:D, MATCH($A22, 대여현황!$A:$A, 0)), "")</f>
        <v/>
      </c>
      <c r="E22" s="22" t="str">
        <f>IF(ISNUMBER(MATCH($A22, 대여현황!$A:$A, 0)), INDEX(대여현황!E:E, MATCH($A22, 대여현황!$A:$A, 0)), "")</f>
        <v/>
      </c>
      <c r="F22" s="22" t="str">
        <f>IF(ISNUMBER(MATCH($A22, 대여현황!$A:$A, 0)), INDEX(대여현황!F:F, MATCH($A22, 대여현황!$A:$A, 0)), "-")</f>
        <v>-</v>
      </c>
    </row>
    <row r="23" spans="1:6" ht="20" customHeight="1">
      <c r="A23" s="20">
        <v>461</v>
      </c>
      <c r="B23" s="21" t="s">
        <v>343</v>
      </c>
      <c r="C23" s="20" t="str">
        <f>IF(ISNUMBER(MATCH($A23, 대여현황!$A:$A, 0)), INDEX(대여현황!C:C, MATCH($A23, 대여현황!$A:$A, 0)), "")</f>
        <v/>
      </c>
      <c r="D23" s="20" t="str">
        <f>IF(ISNUMBER(MATCH($A23, 대여현황!$A:$A, 0)), INDEX(대여현황!D:D, MATCH($A23, 대여현황!$A:$A, 0)), "")</f>
        <v/>
      </c>
      <c r="E23" s="22" t="str">
        <f>IF(ISNUMBER(MATCH($A23, 대여현황!$A:$A, 0)), INDEX(대여현황!E:E, MATCH($A23, 대여현황!$A:$A, 0)), "")</f>
        <v/>
      </c>
      <c r="F23" s="22" t="str">
        <f>IF(ISNUMBER(MATCH($A23, 대여현황!$A:$A, 0)), INDEX(대여현황!F:F, MATCH($A23, 대여현황!$A:$A, 0)), "-")</f>
        <v>-</v>
      </c>
    </row>
    <row r="24" spans="1:6" ht="20" customHeight="1">
      <c r="A24" s="20">
        <v>462</v>
      </c>
      <c r="B24" s="21" t="s">
        <v>89</v>
      </c>
      <c r="C24" s="20" t="str">
        <f>IF(ISNUMBER(MATCH($A24, 대여현황!$A:$A, 0)), INDEX(대여현황!C:C, MATCH($A24, 대여현황!$A:$A, 0)), "")</f>
        <v/>
      </c>
      <c r="D24" s="20" t="str">
        <f>IF(ISNUMBER(MATCH($A24, 대여현황!$A:$A, 0)), INDEX(대여현황!D:D, MATCH($A24, 대여현황!$A:$A, 0)), "")</f>
        <v/>
      </c>
      <c r="E24" s="22" t="str">
        <f>IF(ISNUMBER(MATCH($A24, 대여현황!$A:$A, 0)), INDEX(대여현황!E:E, MATCH($A24, 대여현황!$A:$A, 0)), "")</f>
        <v/>
      </c>
      <c r="F24" s="22" t="str">
        <f>IF(ISNUMBER(MATCH($A24, 대여현황!$A:$A, 0)), INDEX(대여현황!F:F, MATCH($A24, 대여현황!$A:$A, 0)), "-")</f>
        <v>-</v>
      </c>
    </row>
    <row r="25" spans="1:6" ht="20" customHeight="1">
      <c r="A25" s="20">
        <v>463</v>
      </c>
      <c r="B25" s="21" t="s">
        <v>111</v>
      </c>
      <c r="C25" s="20" t="str">
        <f>IF(ISNUMBER(MATCH($A25, 대여현황!$A:$A, 0)), INDEX(대여현황!C:C, MATCH($A25, 대여현황!$A:$A, 0)), "")</f>
        <v/>
      </c>
      <c r="D25" s="20" t="str">
        <f>IF(ISNUMBER(MATCH($A25, 대여현황!$A:$A, 0)), INDEX(대여현황!D:D, MATCH($A25, 대여현황!$A:$A, 0)), "")</f>
        <v/>
      </c>
      <c r="E25" s="22" t="str">
        <f>IF(ISNUMBER(MATCH($A25, 대여현황!$A:$A, 0)), INDEX(대여현황!E:E, MATCH($A25, 대여현황!$A:$A, 0)), "")</f>
        <v/>
      </c>
      <c r="F25" s="22" t="str">
        <f>IF(ISNUMBER(MATCH($A25, 대여현황!$A:$A, 0)), INDEX(대여현황!F:F, MATCH($A25, 대여현황!$A:$A, 0)), "-")</f>
        <v>-</v>
      </c>
    </row>
    <row r="26" spans="1:6" ht="20" customHeight="1">
      <c r="A26" s="20">
        <v>464</v>
      </c>
      <c r="B26" s="21" t="s">
        <v>353</v>
      </c>
      <c r="C26" s="20" t="str">
        <f>IF(ISNUMBER(MATCH($A26, 대여현황!$A:$A, 0)), INDEX(대여현황!C:C, MATCH($A26, 대여현황!$A:$A, 0)), "")</f>
        <v/>
      </c>
      <c r="D26" s="20" t="str">
        <f>IF(ISNUMBER(MATCH($A26, 대여현황!$A:$A, 0)), INDEX(대여현황!D:D, MATCH($A26, 대여현황!$A:$A, 0)), "")</f>
        <v/>
      </c>
      <c r="E26" s="22" t="str">
        <f>IF(ISNUMBER(MATCH($A26, 대여현황!$A:$A, 0)), INDEX(대여현황!E:E, MATCH($A26, 대여현황!$A:$A, 0)), "")</f>
        <v/>
      </c>
      <c r="F26" s="22" t="str">
        <f>IF(ISNUMBER(MATCH($A26, 대여현황!$A:$A, 0)), INDEX(대여현황!F:F, MATCH($A26, 대여현황!$A:$A, 0)), "-")</f>
        <v>-</v>
      </c>
    </row>
    <row r="27" spans="1:6" ht="20" customHeight="1">
      <c r="A27" s="20">
        <v>465</v>
      </c>
      <c r="B27" s="21" t="s">
        <v>107</v>
      </c>
      <c r="C27" s="20" t="str">
        <f>IF(ISNUMBER(MATCH($A27, 대여현황!$A:$A, 0)), INDEX(대여현황!C:C, MATCH($A27, 대여현황!$A:$A, 0)), "")</f>
        <v/>
      </c>
      <c r="D27" s="20" t="str">
        <f>IF(ISNUMBER(MATCH($A27, 대여현황!$A:$A, 0)), INDEX(대여현황!D:D, MATCH($A27, 대여현황!$A:$A, 0)), "")</f>
        <v/>
      </c>
      <c r="E27" s="22" t="str">
        <f>IF(ISNUMBER(MATCH($A27, 대여현황!$A:$A, 0)), INDEX(대여현황!E:E, MATCH($A27, 대여현황!$A:$A, 0)), "")</f>
        <v/>
      </c>
      <c r="F27" s="22" t="str">
        <f>IF(ISNUMBER(MATCH($A27, 대여현황!$A:$A, 0)), INDEX(대여현황!F:F, MATCH($A27, 대여현황!$A:$A, 0)), "-")</f>
        <v>-</v>
      </c>
    </row>
    <row r="28" spans="1:6" ht="20" customHeight="1">
      <c r="A28" s="20">
        <v>466</v>
      </c>
      <c r="B28" s="21" t="s">
        <v>260</v>
      </c>
      <c r="C28" s="20" t="str">
        <f>IF(ISNUMBER(MATCH($A28, 대여현황!$A:$A, 0)), INDEX(대여현황!C:C, MATCH($A28, 대여현황!$A:$A, 0)), "")</f>
        <v/>
      </c>
      <c r="D28" s="20" t="str">
        <f>IF(ISNUMBER(MATCH($A28, 대여현황!$A:$A, 0)), INDEX(대여현황!D:D, MATCH($A28, 대여현황!$A:$A, 0)), "")</f>
        <v/>
      </c>
      <c r="E28" s="22" t="str">
        <f>IF(ISNUMBER(MATCH($A28, 대여현황!$A:$A, 0)), INDEX(대여현황!E:E, MATCH($A28, 대여현황!$A:$A, 0)), "")</f>
        <v/>
      </c>
      <c r="F28" s="22" t="str">
        <f>IF(ISNUMBER(MATCH($A28, 대여현황!$A:$A, 0)), INDEX(대여현황!F:F, MATCH($A28, 대여현황!$A:$A, 0)), "-")</f>
        <v>-</v>
      </c>
    </row>
    <row r="29" spans="1:6" ht="20" customHeight="1">
      <c r="A29" s="20">
        <v>467</v>
      </c>
      <c r="B29" s="21" t="s">
        <v>341</v>
      </c>
      <c r="C29" s="20" t="str">
        <f>IF(ISNUMBER(MATCH($A29, 대여현황!$A:$A, 0)), INDEX(대여현황!C:C, MATCH($A29, 대여현황!$A:$A, 0)), "")</f>
        <v/>
      </c>
      <c r="D29" s="20" t="str">
        <f>IF(ISNUMBER(MATCH($A29, 대여현황!$A:$A, 0)), INDEX(대여현황!D:D, MATCH($A29, 대여현황!$A:$A, 0)), "")</f>
        <v/>
      </c>
      <c r="E29" s="22" t="str">
        <f>IF(ISNUMBER(MATCH($A29, 대여현황!$A:$A, 0)), INDEX(대여현황!E:E, MATCH($A29, 대여현황!$A:$A, 0)), "")</f>
        <v/>
      </c>
      <c r="F29" s="22" t="str">
        <f>IF(ISNUMBER(MATCH($A29, 대여현황!$A:$A, 0)), INDEX(대여현황!F:F, MATCH($A29, 대여현황!$A:$A, 0)), "-")</f>
        <v>-</v>
      </c>
    </row>
    <row r="30" spans="1:6" ht="20" customHeight="1">
      <c r="A30" s="20">
        <v>468</v>
      </c>
      <c r="B30" s="21" t="s">
        <v>102</v>
      </c>
      <c r="C30" s="20" t="str">
        <f>IF(ISNUMBER(MATCH($A30, 대여현황!$A:$A, 0)), INDEX(대여현황!C:C, MATCH($A30, 대여현황!$A:$A, 0)), "")</f>
        <v/>
      </c>
      <c r="D30" s="20" t="str">
        <f>IF(ISNUMBER(MATCH($A30, 대여현황!$A:$A, 0)), INDEX(대여현황!D:D, MATCH($A30, 대여현황!$A:$A, 0)), "")</f>
        <v/>
      </c>
      <c r="E30" s="22" t="str">
        <f>IF(ISNUMBER(MATCH($A30, 대여현황!$A:$A, 0)), INDEX(대여현황!E:E, MATCH($A30, 대여현황!$A:$A, 0)), "")</f>
        <v/>
      </c>
      <c r="F30" s="22" t="str">
        <f>IF(ISNUMBER(MATCH($A30, 대여현황!$A:$A, 0)), INDEX(대여현황!F:F, MATCH($A30, 대여현황!$A:$A, 0)), "-")</f>
        <v>-</v>
      </c>
    </row>
    <row r="31" spans="1:6" ht="20" customHeight="1">
      <c r="A31" s="20">
        <v>469</v>
      </c>
      <c r="B31" s="21" t="s">
        <v>125</v>
      </c>
      <c r="C31" s="20" t="str">
        <f>IF(ISNUMBER(MATCH($A31, 대여현황!$A:$A, 0)), INDEX(대여현황!C:C, MATCH($A31, 대여현황!$A:$A, 0)), "")</f>
        <v/>
      </c>
      <c r="D31" s="20" t="str">
        <f>IF(ISNUMBER(MATCH($A31, 대여현황!$A:$A, 0)), INDEX(대여현황!D:D, MATCH($A31, 대여현황!$A:$A, 0)), "")</f>
        <v/>
      </c>
      <c r="E31" s="22" t="str">
        <f>IF(ISNUMBER(MATCH($A31, 대여현황!$A:$A, 0)), INDEX(대여현황!E:E, MATCH($A31, 대여현황!$A:$A, 0)), "")</f>
        <v/>
      </c>
      <c r="F31" s="22" t="str">
        <f>IF(ISNUMBER(MATCH($A31, 대여현황!$A:$A, 0)), INDEX(대여현황!F:F, MATCH($A31, 대여현황!$A:$A, 0)), "-")</f>
        <v>-</v>
      </c>
    </row>
    <row r="32" spans="1:6" ht="20" customHeight="1">
      <c r="A32" s="20">
        <v>470</v>
      </c>
      <c r="B32" s="21" t="s">
        <v>91</v>
      </c>
      <c r="C32" s="20" t="str">
        <f>IF(ISNUMBER(MATCH($A32, 대여현황!$A:$A, 0)), INDEX(대여현황!C:C, MATCH($A32, 대여현황!$A:$A, 0)), "")</f>
        <v/>
      </c>
      <c r="D32" s="20" t="str">
        <f>IF(ISNUMBER(MATCH($A32, 대여현황!$A:$A, 0)), INDEX(대여현황!D:D, MATCH($A32, 대여현황!$A:$A, 0)), "")</f>
        <v/>
      </c>
      <c r="E32" s="22" t="str">
        <f>IF(ISNUMBER(MATCH($A32, 대여현황!$A:$A, 0)), INDEX(대여현황!E:E, MATCH($A32, 대여현황!$A:$A, 0)), "")</f>
        <v/>
      </c>
      <c r="F32" s="22" t="str">
        <f>IF(ISNUMBER(MATCH($A32, 대여현황!$A:$A, 0)), INDEX(대여현황!F:F, MATCH($A32, 대여현황!$A:$A, 0)), "-")</f>
        <v>-</v>
      </c>
    </row>
    <row r="33" spans="1:6" ht="20" customHeight="1">
      <c r="A33" s="20">
        <v>471</v>
      </c>
      <c r="B33" s="21" t="s">
        <v>128</v>
      </c>
      <c r="C33" s="20" t="str">
        <f>IF(ISNUMBER(MATCH($A33, 대여현황!$A:$A, 0)), INDEX(대여현황!C:C, MATCH($A33, 대여현황!$A:$A, 0)), "")</f>
        <v/>
      </c>
      <c r="D33" s="20" t="str">
        <f>IF(ISNUMBER(MATCH($A33, 대여현황!$A:$A, 0)), INDEX(대여현황!D:D, MATCH($A33, 대여현황!$A:$A, 0)), "")</f>
        <v/>
      </c>
      <c r="E33" s="22" t="str">
        <f>IF(ISNUMBER(MATCH($A33, 대여현황!$A:$A, 0)), INDEX(대여현황!E:E, MATCH($A33, 대여현황!$A:$A, 0)), "")</f>
        <v/>
      </c>
      <c r="F33" s="22" t="str">
        <f>IF(ISNUMBER(MATCH($A33, 대여현황!$A:$A, 0)), INDEX(대여현황!F:F, MATCH($A33, 대여현황!$A:$A, 0)), "-")</f>
        <v>-</v>
      </c>
    </row>
    <row r="34" spans="1:6" ht="20" customHeight="1">
      <c r="A34" s="20">
        <v>472</v>
      </c>
      <c r="B34" s="21" t="s">
        <v>204</v>
      </c>
      <c r="C34" s="20" t="str">
        <f>IF(ISNUMBER(MATCH($A34, 대여현황!$A:$A, 0)), INDEX(대여현황!C:C, MATCH($A34, 대여현황!$A:$A, 0)), "")</f>
        <v/>
      </c>
      <c r="D34" s="20" t="str">
        <f>IF(ISNUMBER(MATCH($A34, 대여현황!$A:$A, 0)), INDEX(대여현황!D:D, MATCH($A34, 대여현황!$A:$A, 0)), "")</f>
        <v/>
      </c>
      <c r="E34" s="22" t="str">
        <f>IF(ISNUMBER(MATCH($A34, 대여현황!$A:$A, 0)), INDEX(대여현황!E:E, MATCH($A34, 대여현황!$A:$A, 0)), "")</f>
        <v/>
      </c>
      <c r="F34" s="22" t="str">
        <f>IF(ISNUMBER(MATCH($A34, 대여현황!$A:$A, 0)), INDEX(대여현황!F:F, MATCH($A34, 대여현황!$A:$A, 0)), "-")</f>
        <v>-</v>
      </c>
    </row>
    <row r="35" spans="1:6" ht="20" customHeight="1">
      <c r="A35" s="20">
        <v>473</v>
      </c>
      <c r="B35" s="21" t="s">
        <v>90</v>
      </c>
      <c r="C35" s="20" t="str">
        <f>IF(ISNUMBER(MATCH($A35, 대여현황!$A:$A, 0)), INDEX(대여현황!C:C, MATCH($A35, 대여현황!$A:$A, 0)), "")</f>
        <v/>
      </c>
      <c r="D35" s="20" t="str">
        <f>IF(ISNUMBER(MATCH($A35, 대여현황!$A:$A, 0)), INDEX(대여현황!D:D, MATCH($A35, 대여현황!$A:$A, 0)), "")</f>
        <v/>
      </c>
      <c r="E35" s="22" t="str">
        <f>IF(ISNUMBER(MATCH($A35, 대여현황!$A:$A, 0)), INDEX(대여현황!E:E, MATCH($A35, 대여현황!$A:$A, 0)), "")</f>
        <v/>
      </c>
      <c r="F35" s="22" t="str">
        <f>IF(ISNUMBER(MATCH($A35, 대여현황!$A:$A, 0)), INDEX(대여현황!F:F, MATCH($A35, 대여현황!$A:$A, 0)), "-")</f>
        <v>-</v>
      </c>
    </row>
    <row r="36" spans="1:6" ht="20" customHeight="1">
      <c r="A36" s="20">
        <v>474</v>
      </c>
      <c r="B36" s="21" t="s">
        <v>332</v>
      </c>
      <c r="C36" s="20" t="str">
        <f>IF(ISNUMBER(MATCH($A36, 대여현황!$A:$A, 0)), INDEX(대여현황!C:C, MATCH($A36, 대여현황!$A:$A, 0)), "")</f>
        <v/>
      </c>
      <c r="D36" s="20" t="str">
        <f>IF(ISNUMBER(MATCH($A36, 대여현황!$A:$A, 0)), INDEX(대여현황!D:D, MATCH($A36, 대여현황!$A:$A, 0)), "")</f>
        <v/>
      </c>
      <c r="E36" s="22" t="str">
        <f>IF(ISNUMBER(MATCH($A36, 대여현황!$A:$A, 0)), INDEX(대여현황!E:E, MATCH($A36, 대여현황!$A:$A, 0)), "")</f>
        <v/>
      </c>
      <c r="F36" s="22" t="str">
        <f>IF(ISNUMBER(MATCH($A36, 대여현황!$A:$A, 0)), INDEX(대여현황!F:F, MATCH($A36, 대여현황!$A:$A, 0)), "-")</f>
        <v>-</v>
      </c>
    </row>
    <row r="37" spans="1:6" ht="20" customHeight="1">
      <c r="A37" s="20">
        <v>475</v>
      </c>
      <c r="B37" s="21" t="s">
        <v>257</v>
      </c>
      <c r="C37" s="20" t="str">
        <f>IF(ISNUMBER(MATCH($A37, 대여현황!$A:$A, 0)), INDEX(대여현황!C:C, MATCH($A37, 대여현황!$A:$A, 0)), "")</f>
        <v/>
      </c>
      <c r="D37" s="20" t="str">
        <f>IF(ISNUMBER(MATCH($A37, 대여현황!$A:$A, 0)), INDEX(대여현황!D:D, MATCH($A37, 대여현황!$A:$A, 0)), "")</f>
        <v/>
      </c>
      <c r="E37" s="22" t="str">
        <f>IF(ISNUMBER(MATCH($A37, 대여현황!$A:$A, 0)), INDEX(대여현황!E:E, MATCH($A37, 대여현황!$A:$A, 0)), "")</f>
        <v/>
      </c>
      <c r="F37" s="22" t="str">
        <f>IF(ISNUMBER(MATCH($A37, 대여현황!$A:$A, 0)), INDEX(대여현황!F:F, MATCH($A37, 대여현황!$A:$A, 0)), "-")</f>
        <v>-</v>
      </c>
    </row>
    <row r="38" spans="1:6" ht="20" customHeight="1">
      <c r="A38" s="20">
        <v>476</v>
      </c>
      <c r="B38" s="21" t="s">
        <v>264</v>
      </c>
      <c r="C38" s="20" t="str">
        <f>IF(ISNUMBER(MATCH($A38, 대여현황!$A:$A, 0)), INDEX(대여현황!C:C, MATCH($A38, 대여현황!$A:$A, 0)), "")</f>
        <v/>
      </c>
      <c r="D38" s="20" t="str">
        <f>IF(ISNUMBER(MATCH($A38, 대여현황!$A:$A, 0)), INDEX(대여현황!D:D, MATCH($A38, 대여현황!$A:$A, 0)), "")</f>
        <v/>
      </c>
      <c r="E38" s="22" t="str">
        <f>IF(ISNUMBER(MATCH($A38, 대여현황!$A:$A, 0)), INDEX(대여현황!E:E, MATCH($A38, 대여현황!$A:$A, 0)), "")</f>
        <v/>
      </c>
      <c r="F38" s="22" t="str">
        <f>IF(ISNUMBER(MATCH($A38, 대여현황!$A:$A, 0)), INDEX(대여현황!F:F, MATCH($A38, 대여현황!$A:$A, 0)), "-")</f>
        <v>-</v>
      </c>
    </row>
    <row r="39" spans="1:6" ht="20" customHeight="1">
      <c r="A39" s="20">
        <v>477</v>
      </c>
      <c r="B39" s="21" t="s">
        <v>331</v>
      </c>
      <c r="C39" s="20" t="str">
        <f>IF(ISNUMBER(MATCH($A39, 대여현황!$A:$A, 0)), INDEX(대여현황!C:C, MATCH($A39, 대여현황!$A:$A, 0)), "")</f>
        <v/>
      </c>
      <c r="D39" s="20" t="str">
        <f>IF(ISNUMBER(MATCH($A39, 대여현황!$A:$A, 0)), INDEX(대여현황!D:D, MATCH($A39, 대여현황!$A:$A, 0)), "")</f>
        <v/>
      </c>
      <c r="E39" s="22" t="str">
        <f>IF(ISNUMBER(MATCH($A39, 대여현황!$A:$A, 0)), INDEX(대여현황!E:E, MATCH($A39, 대여현황!$A:$A, 0)), "")</f>
        <v/>
      </c>
      <c r="F39" s="22" t="str">
        <f>IF(ISNUMBER(MATCH($A39, 대여현황!$A:$A, 0)), INDEX(대여현황!F:F, MATCH($A39, 대여현황!$A:$A, 0)), "-")</f>
        <v>-</v>
      </c>
    </row>
    <row r="40" spans="1:6" ht="20" customHeight="1">
      <c r="A40" s="20">
        <v>478</v>
      </c>
      <c r="B40" s="21" t="s">
        <v>129</v>
      </c>
      <c r="C40" s="20" t="str">
        <f>IF(ISNUMBER(MATCH($A40, 대여현황!$A:$A, 0)), INDEX(대여현황!C:C, MATCH($A40, 대여현황!$A:$A, 0)), "")</f>
        <v/>
      </c>
      <c r="D40" s="20" t="str">
        <f>IF(ISNUMBER(MATCH($A40, 대여현황!$A:$A, 0)), INDEX(대여현황!D:D, MATCH($A40, 대여현황!$A:$A, 0)), "")</f>
        <v/>
      </c>
      <c r="E40" s="22" t="str">
        <f>IF(ISNUMBER(MATCH($A40, 대여현황!$A:$A, 0)), INDEX(대여현황!E:E, MATCH($A40, 대여현황!$A:$A, 0)), "")</f>
        <v/>
      </c>
      <c r="F40" s="22" t="str">
        <f>IF(ISNUMBER(MATCH($A40, 대여현황!$A:$A, 0)), INDEX(대여현황!F:F, MATCH($A40, 대여현황!$A:$A, 0)), "-")</f>
        <v>-</v>
      </c>
    </row>
    <row r="41" spans="1:6" ht="20" customHeight="1">
      <c r="A41" s="20">
        <v>479</v>
      </c>
      <c r="B41" s="21" t="s">
        <v>126</v>
      </c>
      <c r="C41" s="20" t="str">
        <f>IF(ISNUMBER(MATCH($A41, 대여현황!$A:$A, 0)), INDEX(대여현황!C:C, MATCH($A41, 대여현황!$A:$A, 0)), "")</f>
        <v/>
      </c>
      <c r="D41" s="20" t="str">
        <f>IF(ISNUMBER(MATCH($A41, 대여현황!$A:$A, 0)), INDEX(대여현황!D:D, MATCH($A41, 대여현황!$A:$A, 0)), "")</f>
        <v/>
      </c>
      <c r="E41" s="22" t="str">
        <f>IF(ISNUMBER(MATCH($A41, 대여현황!$A:$A, 0)), INDEX(대여현황!E:E, MATCH($A41, 대여현황!$A:$A, 0)), "")</f>
        <v/>
      </c>
      <c r="F41" s="22" t="str">
        <f>IF(ISNUMBER(MATCH($A41, 대여현황!$A:$A, 0)), INDEX(대여현황!F:F, MATCH($A41, 대여현황!$A:$A, 0)), "-")</f>
        <v>-</v>
      </c>
    </row>
    <row r="42" spans="1:6" ht="20" customHeight="1">
      <c r="A42" s="20">
        <v>480</v>
      </c>
      <c r="B42" s="21" t="s">
        <v>261</v>
      </c>
      <c r="C42" s="20" t="str">
        <f>IF(ISNUMBER(MATCH($A42, 대여현황!$A:$A, 0)), INDEX(대여현황!C:C, MATCH($A42, 대여현황!$A:$A, 0)), "")</f>
        <v/>
      </c>
      <c r="D42" s="20" t="str">
        <f>IF(ISNUMBER(MATCH($A42, 대여현황!$A:$A, 0)), INDEX(대여현황!D:D, MATCH($A42, 대여현황!$A:$A, 0)), "")</f>
        <v/>
      </c>
      <c r="E42" s="22" t="str">
        <f>IF(ISNUMBER(MATCH($A42, 대여현황!$A:$A, 0)), INDEX(대여현황!E:E, MATCH($A42, 대여현황!$A:$A, 0)), "")</f>
        <v/>
      </c>
      <c r="F42" s="22" t="str">
        <f>IF(ISNUMBER(MATCH($A42, 대여현황!$A:$A, 0)), INDEX(대여현황!F:F, MATCH($A42, 대여현황!$A:$A, 0)), "-")</f>
        <v>-</v>
      </c>
    </row>
    <row r="43" spans="1:6" ht="20" customHeight="1">
      <c r="A43" s="20">
        <v>481</v>
      </c>
      <c r="B43" s="21" t="s">
        <v>124</v>
      </c>
      <c r="C43" s="20" t="str">
        <f>IF(ISNUMBER(MATCH($A43, 대여현황!$A:$A, 0)), INDEX(대여현황!C:C, MATCH($A43, 대여현황!$A:$A, 0)), "")</f>
        <v/>
      </c>
      <c r="D43" s="20" t="str">
        <f>IF(ISNUMBER(MATCH($A43, 대여현황!$A:$A, 0)), INDEX(대여현황!D:D, MATCH($A43, 대여현황!$A:$A, 0)), "")</f>
        <v/>
      </c>
      <c r="E43" s="22" t="str">
        <f>IF(ISNUMBER(MATCH($A43, 대여현황!$A:$A, 0)), INDEX(대여현황!E:E, MATCH($A43, 대여현황!$A:$A, 0)), "")</f>
        <v/>
      </c>
      <c r="F43" s="22" t="str">
        <f>IF(ISNUMBER(MATCH($A43, 대여현황!$A:$A, 0)), INDEX(대여현황!F:F, MATCH($A43, 대여현황!$A:$A, 0)), "-")</f>
        <v>-</v>
      </c>
    </row>
    <row r="44" spans="1:6" ht="20" customHeight="1">
      <c r="A44" s="20">
        <v>482</v>
      </c>
      <c r="B44" s="21" t="s">
        <v>351</v>
      </c>
      <c r="C44" s="20" t="str">
        <f>IF(ISNUMBER(MATCH($A44, 대여현황!$A:$A, 0)), INDEX(대여현황!C:C, MATCH($A44, 대여현황!$A:$A, 0)), "")</f>
        <v/>
      </c>
      <c r="D44" s="20" t="str">
        <f>IF(ISNUMBER(MATCH($A44, 대여현황!$A:$A, 0)), INDEX(대여현황!D:D, MATCH($A44, 대여현황!$A:$A, 0)), "")</f>
        <v/>
      </c>
      <c r="E44" s="22" t="str">
        <f>IF(ISNUMBER(MATCH($A44, 대여현황!$A:$A, 0)), INDEX(대여현황!E:E, MATCH($A44, 대여현황!$A:$A, 0)), "")</f>
        <v/>
      </c>
      <c r="F44" s="22" t="str">
        <f>IF(ISNUMBER(MATCH($A44, 대여현황!$A:$A, 0)), INDEX(대여현황!F:F, MATCH($A44, 대여현황!$A:$A, 0)), "-")</f>
        <v>-</v>
      </c>
    </row>
    <row r="45" spans="1:6" ht="20" customHeight="1">
      <c r="A45" s="20">
        <v>483</v>
      </c>
      <c r="B45" s="21" t="s">
        <v>347</v>
      </c>
      <c r="C45" s="20" t="str">
        <f>IF(ISNUMBER(MATCH($A45, 대여현황!$A:$A, 0)), INDEX(대여현황!C:C, MATCH($A45, 대여현황!$A:$A, 0)), "")</f>
        <v/>
      </c>
      <c r="D45" s="20" t="str">
        <f>IF(ISNUMBER(MATCH($A45, 대여현황!$A:$A, 0)), INDEX(대여현황!D:D, MATCH($A45, 대여현황!$A:$A, 0)), "")</f>
        <v/>
      </c>
      <c r="E45" s="22" t="str">
        <f>IF(ISNUMBER(MATCH($A45, 대여현황!$A:$A, 0)), INDEX(대여현황!E:E, MATCH($A45, 대여현황!$A:$A, 0)), "")</f>
        <v/>
      </c>
      <c r="F45" s="22" t="str">
        <f>IF(ISNUMBER(MATCH($A45, 대여현황!$A:$A, 0)), INDEX(대여현황!F:F, MATCH($A45, 대여현황!$A:$A, 0)), "-")</f>
        <v>-</v>
      </c>
    </row>
    <row r="46" spans="1:6" ht="20" customHeight="1">
      <c r="A46" s="20">
        <v>484</v>
      </c>
      <c r="B46" s="21" t="s">
        <v>59</v>
      </c>
      <c r="C46" s="20" t="str">
        <f>IF(ISNUMBER(MATCH($A46, 대여현황!$A:$A, 0)), INDEX(대여현황!C:C, MATCH($A46, 대여현황!$A:$A, 0)), "")</f>
        <v/>
      </c>
      <c r="D46" s="20" t="str">
        <f>IF(ISNUMBER(MATCH($A46, 대여현황!$A:$A, 0)), INDEX(대여현황!D:D, MATCH($A46, 대여현황!$A:$A, 0)), "")</f>
        <v/>
      </c>
      <c r="E46" s="22" t="str">
        <f>IF(ISNUMBER(MATCH($A46, 대여현황!$A:$A, 0)), INDEX(대여현황!E:E, MATCH($A46, 대여현황!$A:$A, 0)), "")</f>
        <v/>
      </c>
      <c r="F46" s="22" t="str">
        <f>IF(ISNUMBER(MATCH($A46, 대여현황!$A:$A, 0)), INDEX(대여현황!F:F, MATCH($A46, 대여현황!$A:$A, 0)), "-")</f>
        <v>-</v>
      </c>
    </row>
    <row r="47" spans="1:6" ht="20" customHeight="1">
      <c r="A47" s="20">
        <v>485</v>
      </c>
      <c r="B47" s="21" t="s">
        <v>104</v>
      </c>
      <c r="C47" s="20" t="str">
        <f>IF(ISNUMBER(MATCH($A47, 대여현황!$A:$A, 0)), INDEX(대여현황!C:C, MATCH($A47, 대여현황!$A:$A, 0)), "")</f>
        <v/>
      </c>
      <c r="D47" s="20" t="str">
        <f>IF(ISNUMBER(MATCH($A47, 대여현황!$A:$A, 0)), INDEX(대여현황!D:D, MATCH($A47, 대여현황!$A:$A, 0)), "")</f>
        <v/>
      </c>
      <c r="E47" s="22" t="str">
        <f>IF(ISNUMBER(MATCH($A47, 대여현황!$A:$A, 0)), INDEX(대여현황!E:E, MATCH($A47, 대여현황!$A:$A, 0)), "")</f>
        <v/>
      </c>
      <c r="F47" s="22" t="str">
        <f>IF(ISNUMBER(MATCH($A47, 대여현황!$A:$A, 0)), INDEX(대여현황!F:F, MATCH($A47, 대여현황!$A:$A, 0)), "-")</f>
        <v>-</v>
      </c>
    </row>
    <row r="48" spans="1:6" ht="20" customHeight="1">
      <c r="A48" s="20">
        <v>486</v>
      </c>
      <c r="B48" s="21" t="s">
        <v>262</v>
      </c>
      <c r="C48" s="20" t="str">
        <f>IF(ISNUMBER(MATCH($A48, 대여현황!$A:$A, 0)), INDEX(대여현황!C:C, MATCH($A48, 대여현황!$A:$A, 0)), "")</f>
        <v/>
      </c>
      <c r="D48" s="20" t="str">
        <f>IF(ISNUMBER(MATCH($A48, 대여현황!$A:$A, 0)), INDEX(대여현황!D:D, MATCH($A48, 대여현황!$A:$A, 0)), "")</f>
        <v/>
      </c>
      <c r="E48" s="22" t="str">
        <f>IF(ISNUMBER(MATCH($A48, 대여현황!$A:$A, 0)), INDEX(대여현황!E:E, MATCH($A48, 대여현황!$A:$A, 0)), "")</f>
        <v/>
      </c>
      <c r="F48" s="22" t="str">
        <f>IF(ISNUMBER(MATCH($A48, 대여현황!$A:$A, 0)), INDEX(대여현황!F:F, MATCH($A48, 대여현황!$A:$A, 0)), "-")</f>
        <v>-</v>
      </c>
    </row>
    <row r="49" spans="1:6" ht="20" customHeight="1">
      <c r="A49" s="20">
        <v>487</v>
      </c>
      <c r="B49" s="21" t="s">
        <v>340</v>
      </c>
      <c r="C49" s="20" t="str">
        <f>IF(ISNUMBER(MATCH($A49, 대여현황!$A:$A, 0)), INDEX(대여현황!C:C, MATCH($A49, 대여현황!$A:$A, 0)), "")</f>
        <v/>
      </c>
      <c r="D49" s="20" t="str">
        <f>IF(ISNUMBER(MATCH($A49, 대여현황!$A:$A, 0)), INDEX(대여현황!D:D, MATCH($A49, 대여현황!$A:$A, 0)), "")</f>
        <v/>
      </c>
      <c r="E49" s="22" t="str">
        <f>IF(ISNUMBER(MATCH($A49, 대여현황!$A:$A, 0)), INDEX(대여현황!E:E, MATCH($A49, 대여현황!$A:$A, 0)), "")</f>
        <v/>
      </c>
      <c r="F49" s="22" t="str">
        <f>IF(ISNUMBER(MATCH($A49, 대여현황!$A:$A, 0)), INDEX(대여현황!F:F, MATCH($A49, 대여현황!$A:$A, 0)), "-")</f>
        <v>-</v>
      </c>
    </row>
    <row r="50" spans="1:6" ht="20" customHeight="1">
      <c r="A50" s="20">
        <v>488</v>
      </c>
      <c r="B50" s="21" t="s">
        <v>100</v>
      </c>
      <c r="C50" s="20" t="str">
        <f>IF(ISNUMBER(MATCH($A50, 대여현황!$A:$A, 0)), INDEX(대여현황!C:C, MATCH($A50, 대여현황!$A:$A, 0)), "")</f>
        <v/>
      </c>
      <c r="D50" s="20" t="str">
        <f>IF(ISNUMBER(MATCH($A50, 대여현황!$A:$A, 0)), INDEX(대여현황!D:D, MATCH($A50, 대여현황!$A:$A, 0)), "")</f>
        <v/>
      </c>
      <c r="E50" s="22" t="str">
        <f>IF(ISNUMBER(MATCH($A50, 대여현황!$A:$A, 0)), INDEX(대여현황!E:E, MATCH($A50, 대여현황!$A:$A, 0)), "")</f>
        <v/>
      </c>
      <c r="F50" s="22" t="str">
        <f>IF(ISNUMBER(MATCH($A50, 대여현황!$A:$A, 0)), INDEX(대여현황!F:F, MATCH($A50, 대여현황!$A:$A, 0)), "-")</f>
        <v>-</v>
      </c>
    </row>
    <row r="51" spans="1:6" ht="20" customHeight="1">
      <c r="A51" s="20">
        <v>489</v>
      </c>
      <c r="B51" s="21" t="s">
        <v>93</v>
      </c>
      <c r="C51" s="20" t="str">
        <f>IF(ISNUMBER(MATCH($A51, 대여현황!$A:$A, 0)), INDEX(대여현황!C:C, MATCH($A51, 대여현황!$A:$A, 0)), "")</f>
        <v/>
      </c>
      <c r="D51" s="20" t="str">
        <f>IF(ISNUMBER(MATCH($A51, 대여현황!$A:$A, 0)), INDEX(대여현황!D:D, MATCH($A51, 대여현황!$A:$A, 0)), "")</f>
        <v/>
      </c>
      <c r="E51" s="22" t="str">
        <f>IF(ISNUMBER(MATCH($A51, 대여현황!$A:$A, 0)), INDEX(대여현황!E:E, MATCH($A51, 대여현황!$A:$A, 0)), "")</f>
        <v/>
      </c>
      <c r="F51" s="22" t="str">
        <f>IF(ISNUMBER(MATCH($A51, 대여현황!$A:$A, 0)), INDEX(대여현황!F:F, MATCH($A51, 대여현황!$A:$A, 0)), "-")</f>
        <v>-</v>
      </c>
    </row>
    <row r="52" spans="1:6" ht="20" customHeight="1">
      <c r="A52" s="20">
        <v>490</v>
      </c>
      <c r="B52" s="21" t="s">
        <v>98</v>
      </c>
      <c r="C52" s="20" t="str">
        <f>IF(ISNUMBER(MATCH($A52, 대여현황!$A:$A, 0)), INDEX(대여현황!C:C, MATCH($A52, 대여현황!$A:$A, 0)), "")</f>
        <v/>
      </c>
      <c r="D52" s="20" t="str">
        <f>IF(ISNUMBER(MATCH($A52, 대여현황!$A:$A, 0)), INDEX(대여현황!D:D, MATCH($A52, 대여현황!$A:$A, 0)), "")</f>
        <v/>
      </c>
      <c r="E52" s="22" t="str">
        <f>IF(ISNUMBER(MATCH($A52, 대여현황!$A:$A, 0)), INDEX(대여현황!E:E, MATCH($A52, 대여현황!$A:$A, 0)), "")</f>
        <v/>
      </c>
      <c r="F52" s="22" t="str">
        <f>IF(ISNUMBER(MATCH($A52, 대여현황!$A:$A, 0)), INDEX(대여현황!F:F, MATCH($A52, 대여현황!$A:$A, 0)), "-")</f>
        <v>-</v>
      </c>
    </row>
    <row r="53" spans="1:6" ht="20" customHeight="1">
      <c r="A53" s="20">
        <v>491</v>
      </c>
      <c r="B53" s="21" t="s">
        <v>105</v>
      </c>
      <c r="C53" s="20" t="str">
        <f>IF(ISNUMBER(MATCH($A53, 대여현황!$A:$A, 0)), INDEX(대여현황!C:C, MATCH($A53, 대여현황!$A:$A, 0)), "")</f>
        <v/>
      </c>
      <c r="D53" s="20" t="str">
        <f>IF(ISNUMBER(MATCH($A53, 대여현황!$A:$A, 0)), INDEX(대여현황!D:D, MATCH($A53, 대여현황!$A:$A, 0)), "")</f>
        <v/>
      </c>
      <c r="E53" s="22" t="str">
        <f>IF(ISNUMBER(MATCH($A53, 대여현황!$A:$A, 0)), INDEX(대여현황!E:E, MATCH($A53, 대여현황!$A:$A, 0)), "")</f>
        <v/>
      </c>
      <c r="F53" s="22" t="str">
        <f>IF(ISNUMBER(MATCH($A53, 대여현황!$A:$A, 0)), INDEX(대여현황!F:F, MATCH($A53, 대여현황!$A:$A, 0)), "-")</f>
        <v>-</v>
      </c>
    </row>
    <row r="54" spans="1:6" ht="20" customHeight="1">
      <c r="A54" s="20">
        <v>492</v>
      </c>
      <c r="B54" s="21" t="s">
        <v>121</v>
      </c>
      <c r="C54" s="20" t="str">
        <f>IF(ISNUMBER(MATCH($A54, 대여현황!$A:$A, 0)), INDEX(대여현황!C:C, MATCH($A54, 대여현황!$A:$A, 0)), "")</f>
        <v/>
      </c>
      <c r="D54" s="20" t="str">
        <f>IF(ISNUMBER(MATCH($A54, 대여현황!$A:$A, 0)), INDEX(대여현황!D:D, MATCH($A54, 대여현황!$A:$A, 0)), "")</f>
        <v/>
      </c>
      <c r="E54" s="22" t="str">
        <f>IF(ISNUMBER(MATCH($A54, 대여현황!$A:$A, 0)), INDEX(대여현황!E:E, MATCH($A54, 대여현황!$A:$A, 0)), "")</f>
        <v/>
      </c>
      <c r="F54" s="22" t="str">
        <f>IF(ISNUMBER(MATCH($A54, 대여현황!$A:$A, 0)), INDEX(대여현황!F:F, MATCH($A54, 대여현황!$A:$A, 0)), "-")</f>
        <v>-</v>
      </c>
    </row>
    <row r="55" spans="1:6" ht="20" customHeight="1">
      <c r="A55" s="20">
        <v>493</v>
      </c>
      <c r="B55" s="21" t="s">
        <v>349</v>
      </c>
      <c r="C55" s="20" t="str">
        <f>IF(ISNUMBER(MATCH($A55, 대여현황!$A:$A, 0)), INDEX(대여현황!C:C, MATCH($A55, 대여현황!$A:$A, 0)), "")</f>
        <v/>
      </c>
      <c r="D55" s="20" t="str">
        <f>IF(ISNUMBER(MATCH($A55, 대여현황!$A:$A, 0)), INDEX(대여현황!D:D, MATCH($A55, 대여현황!$A:$A, 0)), "")</f>
        <v/>
      </c>
      <c r="E55" s="22" t="str">
        <f>IF(ISNUMBER(MATCH($A55, 대여현황!$A:$A, 0)), INDEX(대여현황!E:E, MATCH($A55, 대여현황!$A:$A, 0)), "")</f>
        <v/>
      </c>
      <c r="F55" s="22" t="str">
        <f>IF(ISNUMBER(MATCH($A55, 대여현황!$A:$A, 0)), INDEX(대여현황!F:F, MATCH($A55, 대여현황!$A:$A, 0)), "-")</f>
        <v>-</v>
      </c>
    </row>
    <row r="56" spans="1:6" ht="20" customHeight="1">
      <c r="A56" s="20">
        <v>494</v>
      </c>
      <c r="B56" s="21" t="s">
        <v>97</v>
      </c>
      <c r="C56" s="20" t="str">
        <f>IF(ISNUMBER(MATCH($A56, 대여현황!$A:$A, 0)), INDEX(대여현황!C:C, MATCH($A56, 대여현황!$A:$A, 0)), "")</f>
        <v/>
      </c>
      <c r="D56" s="20" t="str">
        <f>IF(ISNUMBER(MATCH($A56, 대여현황!$A:$A, 0)), INDEX(대여현황!D:D, MATCH($A56, 대여현황!$A:$A, 0)), "")</f>
        <v/>
      </c>
      <c r="E56" s="22" t="str">
        <f>IF(ISNUMBER(MATCH($A56, 대여현황!$A:$A, 0)), INDEX(대여현황!E:E, MATCH($A56, 대여현황!$A:$A, 0)), "")</f>
        <v/>
      </c>
      <c r="F56" s="22" t="str">
        <f>IF(ISNUMBER(MATCH($A56, 대여현황!$A:$A, 0)), INDEX(대여현황!F:F, MATCH($A56, 대여현황!$A:$A, 0)), "-")</f>
        <v>-</v>
      </c>
    </row>
    <row r="57" spans="1:6" ht="20" customHeight="1">
      <c r="A57" s="20">
        <v>495</v>
      </c>
      <c r="B57" s="21" t="s">
        <v>101</v>
      </c>
      <c r="C57" s="20" t="str">
        <f>IF(ISNUMBER(MATCH($A57, 대여현황!$A:$A, 0)), INDEX(대여현황!C:C, MATCH($A57, 대여현황!$A:$A, 0)), "")</f>
        <v/>
      </c>
      <c r="D57" s="20" t="str">
        <f>IF(ISNUMBER(MATCH($A57, 대여현황!$A:$A, 0)), INDEX(대여현황!D:D, MATCH($A57, 대여현황!$A:$A, 0)), "")</f>
        <v/>
      </c>
      <c r="E57" s="22" t="str">
        <f>IF(ISNUMBER(MATCH($A57, 대여현황!$A:$A, 0)), INDEX(대여현황!E:E, MATCH($A57, 대여현황!$A:$A, 0)), "")</f>
        <v/>
      </c>
      <c r="F57" s="22" t="str">
        <f>IF(ISNUMBER(MATCH($A57, 대여현황!$A:$A, 0)), INDEX(대여현황!F:F, MATCH($A57, 대여현황!$A:$A, 0)), "-")</f>
        <v>-</v>
      </c>
    </row>
    <row r="58" spans="1:6" ht="20" customHeight="1">
      <c r="A58" s="20">
        <v>496</v>
      </c>
      <c r="B58" s="21" t="s">
        <v>256</v>
      </c>
      <c r="C58" s="20" t="str">
        <f>IF(ISNUMBER(MATCH($A58, 대여현황!$A:$A, 0)), INDEX(대여현황!C:C, MATCH($A58, 대여현황!$A:$A, 0)), "")</f>
        <v/>
      </c>
      <c r="D58" s="20" t="str">
        <f>IF(ISNUMBER(MATCH($A58, 대여현황!$A:$A, 0)), INDEX(대여현황!D:D, MATCH($A58, 대여현황!$A:$A, 0)), "")</f>
        <v/>
      </c>
      <c r="E58" s="22" t="str">
        <f>IF(ISNUMBER(MATCH($A58, 대여현황!$A:$A, 0)), INDEX(대여현황!E:E, MATCH($A58, 대여현황!$A:$A, 0)), "")</f>
        <v/>
      </c>
      <c r="F58" s="22" t="str">
        <f>IF(ISNUMBER(MATCH($A58, 대여현황!$A:$A, 0)), INDEX(대여현황!F:F, MATCH($A58, 대여현황!$A:$A, 0)), "-")</f>
        <v>-</v>
      </c>
    </row>
    <row r="59" spans="1:6" ht="20" customHeight="1">
      <c r="A59" s="20">
        <v>497</v>
      </c>
      <c r="B59" s="21" t="s">
        <v>253</v>
      </c>
      <c r="C59" s="20" t="str">
        <f>IF(ISNUMBER(MATCH($A59, 대여현황!$A:$A, 0)), INDEX(대여현황!C:C, MATCH($A59, 대여현황!$A:$A, 0)), "")</f>
        <v/>
      </c>
      <c r="D59" s="20" t="str">
        <f>IF(ISNUMBER(MATCH($A59, 대여현황!$A:$A, 0)), INDEX(대여현황!D:D, MATCH($A59, 대여현황!$A:$A, 0)), "")</f>
        <v/>
      </c>
      <c r="E59" s="22" t="str">
        <f>IF(ISNUMBER(MATCH($A59, 대여현황!$A:$A, 0)), INDEX(대여현황!E:E, MATCH($A59, 대여현황!$A:$A, 0)), "")</f>
        <v/>
      </c>
      <c r="F59" s="22" t="str">
        <f>IF(ISNUMBER(MATCH($A59, 대여현황!$A:$A, 0)), INDEX(대여현황!F:F, MATCH($A59, 대여현황!$A:$A, 0)), "-")</f>
        <v>-</v>
      </c>
    </row>
    <row r="60" spans="1:6" ht="20" customHeight="1">
      <c r="A60" s="20">
        <v>498</v>
      </c>
      <c r="B60" s="21" t="s">
        <v>255</v>
      </c>
      <c r="C60" s="20" t="str">
        <f>IF(ISNUMBER(MATCH($A60, 대여현황!$A:$A, 0)), INDEX(대여현황!C:C, MATCH($A60, 대여현황!$A:$A, 0)), "")</f>
        <v/>
      </c>
      <c r="D60" s="20" t="str">
        <f>IF(ISNUMBER(MATCH($A60, 대여현황!$A:$A, 0)), INDEX(대여현황!D:D, MATCH($A60, 대여현황!$A:$A, 0)), "")</f>
        <v/>
      </c>
      <c r="E60" s="22" t="str">
        <f>IF(ISNUMBER(MATCH($A60, 대여현황!$A:$A, 0)), INDEX(대여현황!E:E, MATCH($A60, 대여현황!$A:$A, 0)), "")</f>
        <v/>
      </c>
      <c r="F60" s="22" t="str">
        <f>IF(ISNUMBER(MATCH($A60, 대여현황!$A:$A, 0)), INDEX(대여현황!F:F, MATCH($A60, 대여현황!$A:$A, 0)), "-")</f>
        <v>-</v>
      </c>
    </row>
    <row r="61" spans="1:6" ht="20" customHeight="1">
      <c r="A61" s="20">
        <v>499</v>
      </c>
      <c r="B61" s="21" t="s">
        <v>242</v>
      </c>
      <c r="C61" s="20" t="str">
        <f>IF(ISNUMBER(MATCH($A61, 대여현황!$A:$A, 0)), INDEX(대여현황!C:C, MATCH($A61, 대여현황!$A:$A, 0)), "")</f>
        <v/>
      </c>
      <c r="D61" s="20" t="str">
        <f>IF(ISNUMBER(MATCH($A61, 대여현황!$A:$A, 0)), INDEX(대여현황!D:D, MATCH($A61, 대여현황!$A:$A, 0)), "")</f>
        <v/>
      </c>
      <c r="E61" s="22" t="str">
        <f>IF(ISNUMBER(MATCH($A61, 대여현황!$A:$A, 0)), INDEX(대여현황!E:E, MATCH($A61, 대여현황!$A:$A, 0)), "")</f>
        <v/>
      </c>
      <c r="F61" s="22" t="str">
        <f>IF(ISNUMBER(MATCH($A61, 대여현황!$A:$A, 0)), INDEX(대여현황!F:F, MATCH($A61, 대여현황!$A:$A, 0)), "-")</f>
        <v>-</v>
      </c>
    </row>
    <row r="62" spans="1:6" ht="20" customHeight="1">
      <c r="A62" s="20">
        <v>500</v>
      </c>
      <c r="B62" s="21" t="s">
        <v>232</v>
      </c>
      <c r="C62" s="20" t="str">
        <f>IF(ISNUMBER(MATCH($A62, 대여현황!$A:$A, 0)), INDEX(대여현황!C:C, MATCH($A62, 대여현황!$A:$A, 0)), "")</f>
        <v/>
      </c>
      <c r="D62" s="20" t="str">
        <f>IF(ISNUMBER(MATCH($A62, 대여현황!$A:$A, 0)), INDEX(대여현황!D:D, MATCH($A62, 대여현황!$A:$A, 0)), "")</f>
        <v/>
      </c>
      <c r="E62" s="22" t="str">
        <f>IF(ISNUMBER(MATCH($A62, 대여현황!$A:$A, 0)), INDEX(대여현황!E:E, MATCH($A62, 대여현황!$A:$A, 0)), "")</f>
        <v/>
      </c>
      <c r="F62" s="22" t="str">
        <f>IF(ISNUMBER(MATCH($A62, 대여현황!$A:$A, 0)), INDEX(대여현황!F:F, MATCH($A62, 대여현황!$A:$A, 0)), "-")</f>
        <v>-</v>
      </c>
    </row>
    <row r="63" spans="1:6" ht="20" customHeight="1">
      <c r="A63" s="20">
        <v>501</v>
      </c>
      <c r="B63" s="21" t="s">
        <v>329</v>
      </c>
      <c r="C63" s="20" t="str">
        <f>IF(ISNUMBER(MATCH($A63, 대여현황!$A:$A, 0)), INDEX(대여현황!C:C, MATCH($A63, 대여현황!$A:$A, 0)), "")</f>
        <v/>
      </c>
      <c r="D63" s="20" t="str">
        <f>IF(ISNUMBER(MATCH($A63, 대여현황!$A:$A, 0)), INDEX(대여현황!D:D, MATCH($A63, 대여현황!$A:$A, 0)), "")</f>
        <v/>
      </c>
      <c r="E63" s="22" t="str">
        <f>IF(ISNUMBER(MATCH($A63, 대여현황!$A:$A, 0)), INDEX(대여현황!E:E, MATCH($A63, 대여현황!$A:$A, 0)), "")</f>
        <v/>
      </c>
      <c r="F63" s="22" t="str">
        <f>IF(ISNUMBER(MATCH($A63, 대여현황!$A:$A, 0)), INDEX(대여현황!F:F, MATCH($A63, 대여현황!$A:$A, 0)), "-")</f>
        <v>-</v>
      </c>
    </row>
    <row r="64" spans="1:6" ht="20" customHeight="1">
      <c r="A64" s="20">
        <v>502</v>
      </c>
      <c r="B64" s="21" t="s">
        <v>336</v>
      </c>
      <c r="C64" s="20" t="str">
        <f>IF(ISNUMBER(MATCH($A64, 대여현황!$A:$A, 0)), INDEX(대여현황!C:C, MATCH($A64, 대여현황!$A:$A, 0)), "")</f>
        <v/>
      </c>
      <c r="D64" s="20" t="str">
        <f>IF(ISNUMBER(MATCH($A64, 대여현황!$A:$A, 0)), INDEX(대여현황!D:D, MATCH($A64, 대여현황!$A:$A, 0)), "")</f>
        <v/>
      </c>
      <c r="E64" s="22" t="str">
        <f>IF(ISNUMBER(MATCH($A64, 대여현황!$A:$A, 0)), INDEX(대여현황!E:E, MATCH($A64, 대여현황!$A:$A, 0)), "")</f>
        <v/>
      </c>
      <c r="F64" s="22" t="str">
        <f>IF(ISNUMBER(MATCH($A64, 대여현황!$A:$A, 0)), INDEX(대여현황!F:F, MATCH($A64, 대여현황!$A:$A, 0)), "-")</f>
        <v>-</v>
      </c>
    </row>
    <row r="65" spans="1:6" ht="20" customHeight="1">
      <c r="A65" s="20">
        <v>503</v>
      </c>
      <c r="B65" s="21" t="s">
        <v>64</v>
      </c>
      <c r="C65" s="20" t="str">
        <f>IF(ISNUMBER(MATCH($A65, 대여현황!$A:$A, 0)), INDEX(대여현황!C:C, MATCH($A65, 대여현황!$A:$A, 0)), "")</f>
        <v/>
      </c>
      <c r="D65" s="20" t="str">
        <f>IF(ISNUMBER(MATCH($A65, 대여현황!$A:$A, 0)), INDEX(대여현황!D:D, MATCH($A65, 대여현황!$A:$A, 0)), "")</f>
        <v/>
      </c>
      <c r="E65" s="22" t="str">
        <f>IF(ISNUMBER(MATCH($A65, 대여현황!$A:$A, 0)), INDEX(대여현황!E:E, MATCH($A65, 대여현황!$A:$A, 0)), "")</f>
        <v/>
      </c>
      <c r="F65" s="22" t="str">
        <f>IF(ISNUMBER(MATCH($A65, 대여현황!$A:$A, 0)), INDEX(대여현황!F:F, MATCH($A65, 대여현황!$A:$A, 0)), "-")</f>
        <v>-</v>
      </c>
    </row>
    <row r="66" spans="1:6" ht="20" customHeight="1">
      <c r="A66" s="20">
        <v>504</v>
      </c>
      <c r="B66" s="21" t="s">
        <v>137</v>
      </c>
      <c r="C66" s="20" t="str">
        <f>IF(ISNUMBER(MATCH($A66, 대여현황!$A:$A, 0)), INDEX(대여현황!C:C, MATCH($A66, 대여현황!$A:$A, 0)), "")</f>
        <v/>
      </c>
      <c r="D66" s="20" t="str">
        <f>IF(ISNUMBER(MATCH($A66, 대여현황!$A:$A, 0)), INDEX(대여현황!D:D, MATCH($A66, 대여현황!$A:$A, 0)), "")</f>
        <v/>
      </c>
      <c r="E66" s="22" t="str">
        <f>IF(ISNUMBER(MATCH($A66, 대여현황!$A:$A, 0)), INDEX(대여현황!E:E, MATCH($A66, 대여현황!$A:$A, 0)), "")</f>
        <v/>
      </c>
      <c r="F66" s="22" t="str">
        <f>IF(ISNUMBER(MATCH($A66, 대여현황!$A:$A, 0)), INDEX(대여현황!F:F, MATCH($A66, 대여현황!$A:$A, 0)), "-")</f>
        <v>-</v>
      </c>
    </row>
    <row r="67" spans="1:6" ht="20" customHeight="1">
      <c r="A67" s="20">
        <v>505</v>
      </c>
      <c r="B67" s="21" t="s">
        <v>94</v>
      </c>
      <c r="C67" s="20" t="str">
        <f>IF(ISNUMBER(MATCH($A67, 대여현황!$A:$A, 0)), INDEX(대여현황!C:C, MATCH($A67, 대여현황!$A:$A, 0)), "")</f>
        <v/>
      </c>
      <c r="D67" s="20" t="str">
        <f>IF(ISNUMBER(MATCH($A67, 대여현황!$A:$A, 0)), INDEX(대여현황!D:D, MATCH($A67, 대여현황!$A:$A, 0)), "")</f>
        <v/>
      </c>
      <c r="E67" s="22" t="str">
        <f>IF(ISNUMBER(MATCH($A67, 대여현황!$A:$A, 0)), INDEX(대여현황!E:E, MATCH($A67, 대여현황!$A:$A, 0)), "")</f>
        <v/>
      </c>
      <c r="F67" s="22" t="str">
        <f>IF(ISNUMBER(MATCH($A67, 대여현황!$A:$A, 0)), INDEX(대여현황!F:F, MATCH($A67, 대여현황!$A:$A, 0)), "-")</f>
        <v>-</v>
      </c>
    </row>
    <row r="68" spans="1:6" ht="20" customHeight="1">
      <c r="A68" s="20">
        <v>506</v>
      </c>
      <c r="B68" s="21" t="s">
        <v>239</v>
      </c>
      <c r="C68" s="20" t="str">
        <f>IF(ISNUMBER(MATCH($A68, 대여현황!$A:$A, 0)), INDEX(대여현황!C:C, MATCH($A68, 대여현황!$A:$A, 0)), "")</f>
        <v/>
      </c>
      <c r="D68" s="20" t="str">
        <f>IF(ISNUMBER(MATCH($A68, 대여현황!$A:$A, 0)), INDEX(대여현황!D:D, MATCH($A68, 대여현황!$A:$A, 0)), "")</f>
        <v/>
      </c>
      <c r="E68" s="22" t="str">
        <f>IF(ISNUMBER(MATCH($A68, 대여현황!$A:$A, 0)), INDEX(대여현황!E:E, MATCH($A68, 대여현황!$A:$A, 0)), "")</f>
        <v/>
      </c>
      <c r="F68" s="22" t="str">
        <f>IF(ISNUMBER(MATCH($A68, 대여현황!$A:$A, 0)), INDEX(대여현황!F:F, MATCH($A68, 대여현황!$A:$A, 0)), "-")</f>
        <v>-</v>
      </c>
    </row>
    <row r="69" spans="1:6" ht="20" customHeight="1">
      <c r="A69" s="20">
        <v>507</v>
      </c>
      <c r="B69" s="21" t="s">
        <v>6</v>
      </c>
      <c r="C69" s="20" t="str">
        <f>IF(ISNUMBER(MATCH($A69, 대여현황!$A:$A, 0)), INDEX(대여현황!C:C, MATCH($A69, 대여현황!$A:$A, 0)), "")</f>
        <v/>
      </c>
      <c r="D69" s="20" t="str">
        <f>IF(ISNUMBER(MATCH($A69, 대여현황!$A:$A, 0)), INDEX(대여현황!D:D, MATCH($A69, 대여현황!$A:$A, 0)), "")</f>
        <v/>
      </c>
      <c r="E69" s="22" t="str">
        <f>IF(ISNUMBER(MATCH($A69, 대여현황!$A:$A, 0)), INDEX(대여현황!E:E, MATCH($A69, 대여현황!$A:$A, 0)), "")</f>
        <v/>
      </c>
      <c r="F69" s="22" t="str">
        <f>IF(ISNUMBER(MATCH($A69, 대여현황!$A:$A, 0)), INDEX(대여현황!F:F, MATCH($A69, 대여현황!$A:$A, 0)), "-")</f>
        <v>-</v>
      </c>
    </row>
    <row r="70" spans="1:6" ht="20" customHeight="1">
      <c r="A70" s="20">
        <v>508</v>
      </c>
      <c r="B70" s="21" t="s">
        <v>358</v>
      </c>
      <c r="C70" s="20" t="str">
        <f>IF(ISNUMBER(MATCH($A70, 대여현황!$A:$A, 0)), INDEX(대여현황!C:C, MATCH($A70, 대여현황!$A:$A, 0)), "")</f>
        <v/>
      </c>
      <c r="D70" s="20" t="str">
        <f>IF(ISNUMBER(MATCH($A70, 대여현황!$A:$A, 0)), INDEX(대여현황!D:D, MATCH($A70, 대여현황!$A:$A, 0)), "")</f>
        <v/>
      </c>
      <c r="E70" s="22" t="str">
        <f>IF(ISNUMBER(MATCH($A70, 대여현황!$A:$A, 0)), INDEX(대여현황!E:E, MATCH($A70, 대여현황!$A:$A, 0)), "")</f>
        <v/>
      </c>
      <c r="F70" s="22" t="str">
        <f>IF(ISNUMBER(MATCH($A70, 대여현황!$A:$A, 0)), INDEX(대여현황!F:F, MATCH($A70, 대여현황!$A:$A, 0)), "-")</f>
        <v>-</v>
      </c>
    </row>
    <row r="71" spans="1:6" ht="20" customHeight="1">
      <c r="A71" s="20">
        <v>509</v>
      </c>
      <c r="B71" s="21" t="s">
        <v>149</v>
      </c>
      <c r="C71" s="20" t="str">
        <f>IF(ISNUMBER(MATCH($A71, 대여현황!$A:$A, 0)), INDEX(대여현황!C:C, MATCH($A71, 대여현황!$A:$A, 0)), "")</f>
        <v/>
      </c>
      <c r="D71" s="20" t="str">
        <f>IF(ISNUMBER(MATCH($A71, 대여현황!$A:$A, 0)), INDEX(대여현황!D:D, MATCH($A71, 대여현황!$A:$A, 0)), "")</f>
        <v/>
      </c>
      <c r="E71" s="22" t="str">
        <f>IF(ISNUMBER(MATCH($A71, 대여현황!$A:$A, 0)), INDEX(대여현황!E:E, MATCH($A71, 대여현황!$A:$A, 0)), "")</f>
        <v/>
      </c>
      <c r="F71" s="22" t="str">
        <f>IF(ISNUMBER(MATCH($A71, 대여현황!$A:$A, 0)), INDEX(대여현황!F:F, MATCH($A71, 대여현황!$A:$A, 0)), "-")</f>
        <v>-</v>
      </c>
    </row>
    <row r="72" spans="1:6" ht="20" customHeight="1">
      <c r="A72" s="20">
        <v>510</v>
      </c>
      <c r="B72" s="21" t="s">
        <v>103</v>
      </c>
      <c r="C72" s="20" t="str">
        <f>IF(ISNUMBER(MATCH($A72, 대여현황!$A:$A, 0)), INDEX(대여현황!C:C, MATCH($A72, 대여현황!$A:$A, 0)), "")</f>
        <v/>
      </c>
      <c r="D72" s="20" t="str">
        <f>IF(ISNUMBER(MATCH($A72, 대여현황!$A:$A, 0)), INDEX(대여현황!D:D, MATCH($A72, 대여현황!$A:$A, 0)), "")</f>
        <v/>
      </c>
      <c r="E72" s="22" t="str">
        <f>IF(ISNUMBER(MATCH($A72, 대여현황!$A:$A, 0)), INDEX(대여현황!E:E, MATCH($A72, 대여현황!$A:$A, 0)), "")</f>
        <v/>
      </c>
      <c r="F72" s="22" t="str">
        <f>IF(ISNUMBER(MATCH($A72, 대여현황!$A:$A, 0)), INDEX(대여현황!F:F, MATCH($A72, 대여현황!$A:$A, 0)), "-")</f>
        <v>-</v>
      </c>
    </row>
    <row r="73" spans="1:6" ht="20" customHeight="1">
      <c r="A73" s="20">
        <v>511</v>
      </c>
      <c r="B73" s="21" t="s">
        <v>81</v>
      </c>
      <c r="C73" s="20" t="str">
        <f>IF(ISNUMBER(MATCH($A73, 대여현황!$A:$A, 0)), INDEX(대여현황!C:C, MATCH($A73, 대여현황!$A:$A, 0)), "")</f>
        <v/>
      </c>
      <c r="D73" s="20" t="str">
        <f>IF(ISNUMBER(MATCH($A73, 대여현황!$A:$A, 0)), INDEX(대여현황!D:D, MATCH($A73, 대여현황!$A:$A, 0)), "")</f>
        <v/>
      </c>
      <c r="E73" s="22" t="str">
        <f>IF(ISNUMBER(MATCH($A73, 대여현황!$A:$A, 0)), INDEX(대여현황!E:E, MATCH($A73, 대여현황!$A:$A, 0)), "")</f>
        <v/>
      </c>
      <c r="F73" s="22" t="str">
        <f>IF(ISNUMBER(MATCH($A73, 대여현황!$A:$A, 0)), INDEX(대여현황!F:F, MATCH($A73, 대여현황!$A:$A, 0)), "-")</f>
        <v>-</v>
      </c>
    </row>
    <row r="74" spans="1:6" ht="20" customHeight="1">
      <c r="A74" s="20">
        <v>512</v>
      </c>
      <c r="B74" s="21" t="s">
        <v>355</v>
      </c>
      <c r="C74" s="20" t="str">
        <f>IF(ISNUMBER(MATCH($A74, 대여현황!$A:$A, 0)), INDEX(대여현황!C:C, MATCH($A74, 대여현황!$A:$A, 0)), "")</f>
        <v/>
      </c>
      <c r="D74" s="20" t="str">
        <f>IF(ISNUMBER(MATCH($A74, 대여현황!$A:$A, 0)), INDEX(대여현황!D:D, MATCH($A74, 대여현황!$A:$A, 0)), "")</f>
        <v/>
      </c>
      <c r="E74" s="22" t="str">
        <f>IF(ISNUMBER(MATCH($A74, 대여현황!$A:$A, 0)), INDEX(대여현황!E:E, MATCH($A74, 대여현황!$A:$A, 0)), "")</f>
        <v/>
      </c>
      <c r="F74" s="22" t="str">
        <f>IF(ISNUMBER(MATCH($A74, 대여현황!$A:$A, 0)), INDEX(대여현황!F:F, MATCH($A74, 대여현황!$A:$A, 0)), "-")</f>
        <v>-</v>
      </c>
    </row>
    <row r="75" spans="1:6" ht="20" customHeight="1">
      <c r="A75" s="20">
        <v>513</v>
      </c>
      <c r="B75" s="21" t="s">
        <v>2</v>
      </c>
      <c r="C75" s="20" t="str">
        <f>IF(ISNUMBER(MATCH($A75, 대여현황!$A:$A, 0)), INDEX(대여현황!C:C, MATCH($A75, 대여현황!$A:$A, 0)), "")</f>
        <v/>
      </c>
      <c r="D75" s="20" t="str">
        <f>IF(ISNUMBER(MATCH($A75, 대여현황!$A:$A, 0)), INDEX(대여현황!D:D, MATCH($A75, 대여현황!$A:$A, 0)), "")</f>
        <v/>
      </c>
      <c r="E75" s="22" t="str">
        <f>IF(ISNUMBER(MATCH($A75, 대여현황!$A:$A, 0)), INDEX(대여현황!E:E, MATCH($A75, 대여현황!$A:$A, 0)), "")</f>
        <v/>
      </c>
      <c r="F75" s="22" t="str">
        <f>IF(ISNUMBER(MATCH($A75, 대여현황!$A:$A, 0)), INDEX(대여현황!F:F, MATCH($A75, 대여현황!$A:$A, 0)), "-")</f>
        <v>-</v>
      </c>
    </row>
    <row r="76" spans="1:6" ht="20" customHeight="1">
      <c r="A76" s="20">
        <v>514</v>
      </c>
      <c r="B76" s="21" t="s">
        <v>346</v>
      </c>
      <c r="C76" s="20" t="str">
        <f>IF(ISNUMBER(MATCH($A76, 대여현황!$A:$A, 0)), INDEX(대여현황!C:C, MATCH($A76, 대여현황!$A:$A, 0)), "")</f>
        <v/>
      </c>
      <c r="D76" s="20" t="str">
        <f>IF(ISNUMBER(MATCH($A76, 대여현황!$A:$A, 0)), INDEX(대여현황!D:D, MATCH($A76, 대여현황!$A:$A, 0)), "")</f>
        <v/>
      </c>
      <c r="E76" s="22" t="str">
        <f>IF(ISNUMBER(MATCH($A76, 대여현황!$A:$A, 0)), INDEX(대여현황!E:E, MATCH($A76, 대여현황!$A:$A, 0)), "")</f>
        <v/>
      </c>
      <c r="F76" s="22" t="str">
        <f>IF(ISNUMBER(MATCH($A76, 대여현황!$A:$A, 0)), INDEX(대여현황!F:F, MATCH($A76, 대여현황!$A:$A, 0)), "-")</f>
        <v>-</v>
      </c>
    </row>
    <row r="77" spans="1:6" ht="20" customHeight="1">
      <c r="A77" s="20">
        <v>515</v>
      </c>
      <c r="B77" s="21" t="s">
        <v>80</v>
      </c>
      <c r="C77" s="20" t="str">
        <f>IF(ISNUMBER(MATCH($A77, 대여현황!$A:$A, 0)), INDEX(대여현황!C:C, MATCH($A77, 대여현황!$A:$A, 0)), "")</f>
        <v/>
      </c>
      <c r="D77" s="20" t="str">
        <f>IF(ISNUMBER(MATCH($A77, 대여현황!$A:$A, 0)), INDEX(대여현황!D:D, MATCH($A77, 대여현황!$A:$A, 0)), "")</f>
        <v/>
      </c>
      <c r="E77" s="22" t="str">
        <f>IF(ISNUMBER(MATCH($A77, 대여현황!$A:$A, 0)), INDEX(대여현황!E:E, MATCH($A77, 대여현황!$A:$A, 0)), "")</f>
        <v/>
      </c>
      <c r="F77" s="22" t="str">
        <f>IF(ISNUMBER(MATCH($A77, 대여현황!$A:$A, 0)), INDEX(대여현황!F:F, MATCH($A77, 대여현황!$A:$A, 0)), "-")</f>
        <v>-</v>
      </c>
    </row>
    <row r="78" spans="1:6" ht="20" customHeight="1">
      <c r="A78" s="20">
        <v>516</v>
      </c>
      <c r="B78" s="21" t="s">
        <v>70</v>
      </c>
      <c r="C78" s="20" t="str">
        <f>IF(ISNUMBER(MATCH($A78, 대여현황!$A:$A, 0)), INDEX(대여현황!C:C, MATCH($A78, 대여현황!$A:$A, 0)), "")</f>
        <v/>
      </c>
      <c r="D78" s="20" t="str">
        <f>IF(ISNUMBER(MATCH($A78, 대여현황!$A:$A, 0)), INDEX(대여현황!D:D, MATCH($A78, 대여현황!$A:$A, 0)), "")</f>
        <v/>
      </c>
      <c r="E78" s="22" t="str">
        <f>IF(ISNUMBER(MATCH($A78, 대여현황!$A:$A, 0)), INDEX(대여현황!E:E, MATCH($A78, 대여현황!$A:$A, 0)), "")</f>
        <v/>
      </c>
      <c r="F78" s="22" t="str">
        <f>IF(ISNUMBER(MATCH($A78, 대여현황!$A:$A, 0)), INDEX(대여현황!F:F, MATCH($A78, 대여현황!$A:$A, 0)), "-")</f>
        <v>-</v>
      </c>
    </row>
    <row r="79" spans="1:6" ht="20" customHeight="1">
      <c r="A79" s="20">
        <v>517</v>
      </c>
      <c r="B79" s="21" t="s">
        <v>73</v>
      </c>
      <c r="C79" s="20" t="str">
        <f>IF(ISNUMBER(MATCH($A79, 대여현황!$A:$A, 0)), INDEX(대여현황!C:C, MATCH($A79, 대여현황!$A:$A, 0)), "")</f>
        <v/>
      </c>
      <c r="D79" s="20" t="str">
        <f>IF(ISNUMBER(MATCH($A79, 대여현황!$A:$A, 0)), INDEX(대여현황!D:D, MATCH($A79, 대여현황!$A:$A, 0)), "")</f>
        <v/>
      </c>
      <c r="E79" s="22" t="str">
        <f>IF(ISNUMBER(MATCH($A79, 대여현황!$A:$A, 0)), INDEX(대여현황!E:E, MATCH($A79, 대여현황!$A:$A, 0)), "")</f>
        <v/>
      </c>
      <c r="F79" s="22" t="str">
        <f>IF(ISNUMBER(MATCH($A79, 대여현황!$A:$A, 0)), INDEX(대여현황!F:F, MATCH($A79, 대여현황!$A:$A, 0)), "-")</f>
        <v>-</v>
      </c>
    </row>
    <row r="80" spans="1:6" ht="20" customHeight="1">
      <c r="A80" s="20">
        <v>518</v>
      </c>
      <c r="B80" s="21" t="s">
        <v>348</v>
      </c>
      <c r="C80" s="20" t="str">
        <f>IF(ISNUMBER(MATCH($A80, 대여현황!$A:$A, 0)), INDEX(대여현황!C:C, MATCH($A80, 대여현황!$A:$A, 0)), "")</f>
        <v/>
      </c>
      <c r="D80" s="20" t="str">
        <f>IF(ISNUMBER(MATCH($A80, 대여현황!$A:$A, 0)), INDEX(대여현황!D:D, MATCH($A80, 대여현황!$A:$A, 0)), "")</f>
        <v/>
      </c>
      <c r="E80" s="22" t="str">
        <f>IF(ISNUMBER(MATCH($A80, 대여현황!$A:$A, 0)), INDEX(대여현황!E:E, MATCH($A80, 대여현황!$A:$A, 0)), "")</f>
        <v/>
      </c>
      <c r="F80" s="22" t="str">
        <f>IF(ISNUMBER(MATCH($A80, 대여현황!$A:$A, 0)), INDEX(대여현황!F:F, MATCH($A80, 대여현황!$A:$A, 0)), "-")</f>
        <v>-</v>
      </c>
    </row>
    <row r="81" spans="1:6" ht="20" customHeight="1">
      <c r="A81" s="20">
        <v>519</v>
      </c>
      <c r="B81" s="21" t="s">
        <v>155</v>
      </c>
      <c r="C81" s="20" t="str">
        <f>IF(ISNUMBER(MATCH($A81, 대여현황!$A:$A, 0)), INDEX(대여현황!C:C, MATCH($A81, 대여현황!$A:$A, 0)), "")</f>
        <v/>
      </c>
      <c r="D81" s="20" t="str">
        <f>IF(ISNUMBER(MATCH($A81, 대여현황!$A:$A, 0)), INDEX(대여현황!D:D, MATCH($A81, 대여현황!$A:$A, 0)), "")</f>
        <v/>
      </c>
      <c r="E81" s="22" t="str">
        <f>IF(ISNUMBER(MATCH($A81, 대여현황!$A:$A, 0)), INDEX(대여현황!E:E, MATCH($A81, 대여현황!$A:$A, 0)), "")</f>
        <v/>
      </c>
      <c r="F81" s="22" t="str">
        <f>IF(ISNUMBER(MATCH($A81, 대여현황!$A:$A, 0)), INDEX(대여현황!F:F, MATCH($A81, 대여현황!$A:$A, 0)), "-")</f>
        <v>-</v>
      </c>
    </row>
    <row r="82" spans="1:6" ht="20" customHeight="1">
      <c r="A82" s="20">
        <v>520</v>
      </c>
      <c r="B82" s="21" t="s">
        <v>72</v>
      </c>
      <c r="C82" s="20" t="str">
        <f>IF(ISNUMBER(MATCH($A82, 대여현황!$A:$A, 0)), INDEX(대여현황!C:C, MATCH($A82, 대여현황!$A:$A, 0)), "")</f>
        <v/>
      </c>
      <c r="D82" s="20" t="str">
        <f>IF(ISNUMBER(MATCH($A82, 대여현황!$A:$A, 0)), INDEX(대여현황!D:D, MATCH($A82, 대여현황!$A:$A, 0)), "")</f>
        <v/>
      </c>
      <c r="E82" s="22" t="str">
        <f>IF(ISNUMBER(MATCH($A82, 대여현황!$A:$A, 0)), INDEX(대여현황!E:E, MATCH($A82, 대여현황!$A:$A, 0)), "")</f>
        <v/>
      </c>
      <c r="F82" s="22" t="str">
        <f>IF(ISNUMBER(MATCH($A82, 대여현황!$A:$A, 0)), INDEX(대여현황!F:F, MATCH($A82, 대여현황!$A:$A, 0)), "-")</f>
        <v>-</v>
      </c>
    </row>
    <row r="83" spans="1:6" ht="20" customHeight="1">
      <c r="A83" s="20">
        <v>521</v>
      </c>
      <c r="B83" s="21" t="s">
        <v>69</v>
      </c>
      <c r="C83" s="20" t="str">
        <f>IF(ISNUMBER(MATCH($A83, 대여현황!$A:$A, 0)), INDEX(대여현황!C:C, MATCH($A83, 대여현황!$A:$A, 0)), "")</f>
        <v/>
      </c>
      <c r="D83" s="20" t="str">
        <f>IF(ISNUMBER(MATCH($A83, 대여현황!$A:$A, 0)), INDEX(대여현황!D:D, MATCH($A83, 대여현황!$A:$A, 0)), "")</f>
        <v/>
      </c>
      <c r="E83" s="22" t="str">
        <f>IF(ISNUMBER(MATCH($A83, 대여현황!$A:$A, 0)), INDEX(대여현황!E:E, MATCH($A83, 대여현황!$A:$A, 0)), "")</f>
        <v/>
      </c>
      <c r="F83" s="22" t="str">
        <f>IF(ISNUMBER(MATCH($A83, 대여현황!$A:$A, 0)), INDEX(대여현황!F:F, MATCH($A83, 대여현황!$A:$A, 0)), "-")</f>
        <v>-</v>
      </c>
    </row>
    <row r="84" spans="1:6" ht="20" customHeight="1">
      <c r="A84" s="20">
        <v>522</v>
      </c>
      <c r="B84" s="21" t="s">
        <v>357</v>
      </c>
      <c r="C84" s="20" t="str">
        <f>IF(ISNUMBER(MATCH($A84, 대여현황!$A:$A, 0)), INDEX(대여현황!C:C, MATCH($A84, 대여현황!$A:$A, 0)), "")</f>
        <v/>
      </c>
      <c r="D84" s="20" t="str">
        <f>IF(ISNUMBER(MATCH($A84, 대여현황!$A:$A, 0)), INDEX(대여현황!D:D, MATCH($A84, 대여현황!$A:$A, 0)), "")</f>
        <v/>
      </c>
      <c r="E84" s="22" t="str">
        <f>IF(ISNUMBER(MATCH($A84, 대여현황!$A:$A, 0)), INDEX(대여현황!E:E, MATCH($A84, 대여현황!$A:$A, 0)), "")</f>
        <v/>
      </c>
      <c r="F84" s="22" t="str">
        <f>IF(ISNUMBER(MATCH($A84, 대여현황!$A:$A, 0)), INDEX(대여현황!F:F, MATCH($A84, 대여현황!$A:$A, 0)), "-")</f>
        <v>-</v>
      </c>
    </row>
    <row r="85" spans="1:6" ht="20" customHeight="1">
      <c r="A85" s="20">
        <v>523</v>
      </c>
      <c r="B85" s="21" t="s">
        <v>76</v>
      </c>
      <c r="C85" s="20" t="str">
        <f>IF(ISNUMBER(MATCH($A85, 대여현황!$A:$A, 0)), INDEX(대여현황!C:C, MATCH($A85, 대여현황!$A:$A, 0)), "")</f>
        <v/>
      </c>
      <c r="D85" s="20" t="str">
        <f>IF(ISNUMBER(MATCH($A85, 대여현황!$A:$A, 0)), INDEX(대여현황!D:D, MATCH($A85, 대여현황!$A:$A, 0)), "")</f>
        <v/>
      </c>
      <c r="E85" s="22" t="str">
        <f>IF(ISNUMBER(MATCH($A85, 대여현황!$A:$A, 0)), INDEX(대여현황!E:E, MATCH($A85, 대여현황!$A:$A, 0)), "")</f>
        <v/>
      </c>
      <c r="F85" s="22" t="str">
        <f>IF(ISNUMBER(MATCH($A85, 대여현황!$A:$A, 0)), INDEX(대여현황!F:F, MATCH($A85, 대여현황!$A:$A, 0)), "-")</f>
        <v>-</v>
      </c>
    </row>
    <row r="86" spans="1:6" ht="20" customHeight="1">
      <c r="A86" s="20">
        <v>524</v>
      </c>
      <c r="B86" s="21" t="s">
        <v>333</v>
      </c>
      <c r="C86" s="20" t="str">
        <f>IF(ISNUMBER(MATCH($A86, 대여현황!$A:$A, 0)), INDEX(대여현황!C:C, MATCH($A86, 대여현황!$A:$A, 0)), "")</f>
        <v/>
      </c>
      <c r="D86" s="20" t="str">
        <f>IF(ISNUMBER(MATCH($A86, 대여현황!$A:$A, 0)), INDEX(대여현황!D:D, MATCH($A86, 대여현황!$A:$A, 0)), "")</f>
        <v/>
      </c>
      <c r="E86" s="22" t="str">
        <f>IF(ISNUMBER(MATCH($A86, 대여현황!$A:$A, 0)), INDEX(대여현황!E:E, MATCH($A86, 대여현황!$A:$A, 0)), "")</f>
        <v/>
      </c>
      <c r="F86" s="22" t="str">
        <f>IF(ISNUMBER(MATCH($A86, 대여현황!$A:$A, 0)), INDEX(대여현황!F:F, MATCH($A86, 대여현황!$A:$A, 0)), "-")</f>
        <v>-</v>
      </c>
    </row>
    <row r="87" spans="1:6" ht="20" customHeight="1">
      <c r="A87" s="20">
        <v>525</v>
      </c>
      <c r="B87" s="21" t="s">
        <v>77</v>
      </c>
      <c r="C87" s="20" t="str">
        <f>IF(ISNUMBER(MATCH($A87, 대여현황!$A:$A, 0)), INDEX(대여현황!C:C, MATCH($A87, 대여현황!$A:$A, 0)), "")</f>
        <v/>
      </c>
      <c r="D87" s="20" t="str">
        <f>IF(ISNUMBER(MATCH($A87, 대여현황!$A:$A, 0)), INDEX(대여현황!D:D, MATCH($A87, 대여현황!$A:$A, 0)), "")</f>
        <v/>
      </c>
      <c r="E87" s="22" t="str">
        <f>IF(ISNUMBER(MATCH($A87, 대여현황!$A:$A, 0)), INDEX(대여현황!E:E, MATCH($A87, 대여현황!$A:$A, 0)), "")</f>
        <v/>
      </c>
      <c r="F87" s="22" t="str">
        <f>IF(ISNUMBER(MATCH($A87, 대여현황!$A:$A, 0)), INDEX(대여현황!F:F, MATCH($A87, 대여현황!$A:$A, 0)), "-")</f>
        <v>-</v>
      </c>
    </row>
    <row r="88" spans="1:6" ht="20" customHeight="1">
      <c r="A88" s="20">
        <v>526</v>
      </c>
      <c r="B88" s="21" t="s">
        <v>157</v>
      </c>
      <c r="C88" s="20" t="str">
        <f>IF(ISNUMBER(MATCH($A88, 대여현황!$A:$A, 0)), INDEX(대여현황!C:C, MATCH($A88, 대여현황!$A:$A, 0)), "")</f>
        <v/>
      </c>
      <c r="D88" s="20" t="str">
        <f>IF(ISNUMBER(MATCH($A88, 대여현황!$A:$A, 0)), INDEX(대여현황!D:D, MATCH($A88, 대여현황!$A:$A, 0)), "")</f>
        <v/>
      </c>
      <c r="E88" s="22" t="str">
        <f>IF(ISNUMBER(MATCH($A88, 대여현황!$A:$A, 0)), INDEX(대여현황!E:E, MATCH($A88, 대여현황!$A:$A, 0)), "")</f>
        <v/>
      </c>
      <c r="F88" s="22" t="str">
        <f>IF(ISNUMBER(MATCH($A88, 대여현황!$A:$A, 0)), INDEX(대여현황!F:F, MATCH($A88, 대여현황!$A:$A, 0)), "-")</f>
        <v>-</v>
      </c>
    </row>
    <row r="89" spans="1:6" ht="20" customHeight="1">
      <c r="A89" s="20">
        <v>527</v>
      </c>
      <c r="B89" s="21" t="s">
        <v>226</v>
      </c>
      <c r="C89" s="20" t="str">
        <f>IF(ISNUMBER(MATCH($A89, 대여현황!$A:$A, 0)), INDEX(대여현황!C:C, MATCH($A89, 대여현황!$A:$A, 0)), "")</f>
        <v/>
      </c>
      <c r="D89" s="20" t="str">
        <f>IF(ISNUMBER(MATCH($A89, 대여현황!$A:$A, 0)), INDEX(대여현황!D:D, MATCH($A89, 대여현황!$A:$A, 0)), "")</f>
        <v/>
      </c>
      <c r="E89" s="22" t="str">
        <f>IF(ISNUMBER(MATCH($A89, 대여현황!$A:$A, 0)), INDEX(대여현황!E:E, MATCH($A89, 대여현황!$A:$A, 0)), "")</f>
        <v/>
      </c>
      <c r="F89" s="22" t="str">
        <f>IF(ISNUMBER(MATCH($A89, 대여현황!$A:$A, 0)), INDEX(대여현황!F:F, MATCH($A89, 대여현황!$A:$A, 0)), "-")</f>
        <v>-</v>
      </c>
    </row>
    <row r="90" spans="1:6" ht="20" customHeight="1">
      <c r="A90" s="20">
        <v>528</v>
      </c>
      <c r="B90" s="21" t="s">
        <v>153</v>
      </c>
      <c r="C90" s="20" t="str">
        <f>IF(ISNUMBER(MATCH($A90, 대여현황!$A:$A, 0)), INDEX(대여현황!C:C, MATCH($A90, 대여현황!$A:$A, 0)), "")</f>
        <v/>
      </c>
      <c r="D90" s="20" t="str">
        <f>IF(ISNUMBER(MATCH($A90, 대여현황!$A:$A, 0)), INDEX(대여현황!D:D, MATCH($A90, 대여현황!$A:$A, 0)), "")</f>
        <v/>
      </c>
      <c r="E90" s="22" t="str">
        <f>IF(ISNUMBER(MATCH($A90, 대여현황!$A:$A, 0)), INDEX(대여현황!E:E, MATCH($A90, 대여현황!$A:$A, 0)), "")</f>
        <v/>
      </c>
      <c r="F90" s="22" t="str">
        <f>IF(ISNUMBER(MATCH($A90, 대여현황!$A:$A, 0)), INDEX(대여현황!F:F, MATCH($A90, 대여현황!$A:$A, 0)), "-")</f>
        <v>-</v>
      </c>
    </row>
    <row r="91" spans="1:6" ht="20" customHeight="1">
      <c r="A91" s="20">
        <v>529</v>
      </c>
      <c r="B91" s="21" t="s">
        <v>154</v>
      </c>
      <c r="C91" s="20" t="str">
        <f>IF(ISNUMBER(MATCH($A91, 대여현황!$A:$A, 0)), INDEX(대여현황!C:C, MATCH($A91, 대여현황!$A:$A, 0)), "")</f>
        <v/>
      </c>
      <c r="D91" s="20" t="str">
        <f>IF(ISNUMBER(MATCH($A91, 대여현황!$A:$A, 0)), INDEX(대여현황!D:D, MATCH($A91, 대여현황!$A:$A, 0)), "")</f>
        <v/>
      </c>
      <c r="E91" s="22" t="str">
        <f>IF(ISNUMBER(MATCH($A91, 대여현황!$A:$A, 0)), INDEX(대여현황!E:E, MATCH($A91, 대여현황!$A:$A, 0)), "")</f>
        <v/>
      </c>
      <c r="F91" s="22" t="str">
        <f>IF(ISNUMBER(MATCH($A91, 대여현황!$A:$A, 0)), INDEX(대여현황!F:F, MATCH($A91, 대여현황!$A:$A, 0)), "-")</f>
        <v>-</v>
      </c>
    </row>
    <row r="92" spans="1:6" ht="20" customHeight="1">
      <c r="A92" s="20">
        <v>530</v>
      </c>
      <c r="B92" s="21" t="s">
        <v>154</v>
      </c>
      <c r="C92" s="20" t="str">
        <f>IF(ISNUMBER(MATCH($A92, 대여현황!$A:$A, 0)), INDEX(대여현황!C:C, MATCH($A92, 대여현황!$A:$A, 0)), "")</f>
        <v/>
      </c>
      <c r="D92" s="20" t="str">
        <f>IF(ISNUMBER(MATCH($A92, 대여현황!$A:$A, 0)), INDEX(대여현황!D:D, MATCH($A92, 대여현황!$A:$A, 0)), "")</f>
        <v/>
      </c>
      <c r="E92" s="22" t="str">
        <f>IF(ISNUMBER(MATCH($A92, 대여현황!$A:$A, 0)), INDEX(대여현황!E:E, MATCH($A92, 대여현황!$A:$A, 0)), "")</f>
        <v/>
      </c>
      <c r="F92" s="22" t="str">
        <f>IF(ISNUMBER(MATCH($A92, 대여현황!$A:$A, 0)), INDEX(대여현황!F:F, MATCH($A92, 대여현황!$A:$A, 0)), "-")</f>
        <v>-</v>
      </c>
    </row>
    <row r="93" spans="1:6" ht="20" customHeight="1">
      <c r="A93" s="20">
        <v>531</v>
      </c>
      <c r="B93" s="21" t="s">
        <v>311</v>
      </c>
      <c r="C93" s="20" t="str">
        <f>IF(ISNUMBER(MATCH($A93, 대여현황!$A:$A, 0)), INDEX(대여현황!C:C, MATCH($A93, 대여현황!$A:$A, 0)), "")</f>
        <v/>
      </c>
      <c r="D93" s="20" t="str">
        <f>IF(ISNUMBER(MATCH($A93, 대여현황!$A:$A, 0)), INDEX(대여현황!D:D, MATCH($A93, 대여현황!$A:$A, 0)), "")</f>
        <v/>
      </c>
      <c r="E93" s="22" t="str">
        <f>IF(ISNUMBER(MATCH($A93, 대여현황!$A:$A, 0)), INDEX(대여현황!E:E, MATCH($A93, 대여현황!$A:$A, 0)), "")</f>
        <v/>
      </c>
      <c r="F93" s="22" t="str">
        <f>IF(ISNUMBER(MATCH($A93, 대여현황!$A:$A, 0)), INDEX(대여현황!F:F, MATCH($A93, 대여현황!$A:$A, 0)), "-")</f>
        <v>-</v>
      </c>
    </row>
    <row r="94" spans="1:6" ht="20" customHeight="1">
      <c r="A94" s="20">
        <v>532</v>
      </c>
      <c r="B94" s="21" t="s">
        <v>308</v>
      </c>
      <c r="C94" s="20" t="str">
        <f>IF(ISNUMBER(MATCH($A94, 대여현황!$A:$A, 0)), INDEX(대여현황!C:C, MATCH($A94, 대여현황!$A:$A, 0)), "")</f>
        <v/>
      </c>
      <c r="D94" s="20" t="str">
        <f>IF(ISNUMBER(MATCH($A94, 대여현황!$A:$A, 0)), INDEX(대여현황!D:D, MATCH($A94, 대여현황!$A:$A, 0)), "")</f>
        <v/>
      </c>
      <c r="E94" s="22" t="str">
        <f>IF(ISNUMBER(MATCH($A94, 대여현황!$A:$A, 0)), INDEX(대여현황!E:E, MATCH($A94, 대여현황!$A:$A, 0)), "")</f>
        <v/>
      </c>
      <c r="F94" s="22" t="str">
        <f>IF(ISNUMBER(MATCH($A94, 대여현황!$A:$A, 0)), INDEX(대여현황!F:F, MATCH($A94, 대여현황!$A:$A, 0)), "-")</f>
        <v>-</v>
      </c>
    </row>
    <row r="95" spans="1:6" ht="20" customHeight="1">
      <c r="A95" s="20">
        <v>533</v>
      </c>
      <c r="B95" s="21" t="s">
        <v>307</v>
      </c>
      <c r="C95" s="20" t="str">
        <f>IF(ISNUMBER(MATCH($A95, 대여현황!$A:$A, 0)), INDEX(대여현황!C:C, MATCH($A95, 대여현황!$A:$A, 0)), "")</f>
        <v/>
      </c>
      <c r="D95" s="20" t="str">
        <f>IF(ISNUMBER(MATCH($A95, 대여현황!$A:$A, 0)), INDEX(대여현황!D:D, MATCH($A95, 대여현황!$A:$A, 0)), "")</f>
        <v/>
      </c>
      <c r="E95" s="22" t="str">
        <f>IF(ISNUMBER(MATCH($A95, 대여현황!$A:$A, 0)), INDEX(대여현황!E:E, MATCH($A95, 대여현황!$A:$A, 0)), "")</f>
        <v/>
      </c>
      <c r="F95" s="22" t="str">
        <f>IF(ISNUMBER(MATCH($A95, 대여현황!$A:$A, 0)), INDEX(대여현황!F:F, MATCH($A95, 대여현황!$A:$A, 0)), "-")</f>
        <v>-</v>
      </c>
    </row>
    <row r="96" spans="1:6" ht="20" customHeight="1">
      <c r="A96" s="20">
        <v>534</v>
      </c>
      <c r="B96" s="21" t="s">
        <v>307</v>
      </c>
      <c r="C96" s="20" t="str">
        <f>IF(ISNUMBER(MATCH($A96, 대여현황!$A:$A, 0)), INDEX(대여현황!C:C, MATCH($A96, 대여현황!$A:$A, 0)), "")</f>
        <v/>
      </c>
      <c r="D96" s="20" t="str">
        <f>IF(ISNUMBER(MATCH($A96, 대여현황!$A:$A, 0)), INDEX(대여현황!D:D, MATCH($A96, 대여현황!$A:$A, 0)), "")</f>
        <v/>
      </c>
      <c r="E96" s="22" t="str">
        <f>IF(ISNUMBER(MATCH($A96, 대여현황!$A:$A, 0)), INDEX(대여현황!E:E, MATCH($A96, 대여현황!$A:$A, 0)), "")</f>
        <v/>
      </c>
      <c r="F96" s="22" t="str">
        <f>IF(ISNUMBER(MATCH($A96, 대여현황!$A:$A, 0)), INDEX(대여현황!F:F, MATCH($A96, 대여현황!$A:$A, 0)), "-")</f>
        <v>-</v>
      </c>
    </row>
    <row r="97" spans="1:6" ht="20" customHeight="1">
      <c r="A97" s="20">
        <v>535</v>
      </c>
      <c r="B97" s="21" t="s">
        <v>17</v>
      </c>
      <c r="C97" s="20" t="str">
        <f>IF(ISNUMBER(MATCH($A97, 대여현황!$A:$A, 0)), INDEX(대여현황!C:C, MATCH($A97, 대여현황!$A:$A, 0)), "")</f>
        <v/>
      </c>
      <c r="D97" s="20" t="str">
        <f>IF(ISNUMBER(MATCH($A97, 대여현황!$A:$A, 0)), INDEX(대여현황!D:D, MATCH($A97, 대여현황!$A:$A, 0)), "")</f>
        <v/>
      </c>
      <c r="E97" s="22" t="str">
        <f>IF(ISNUMBER(MATCH($A97, 대여현황!$A:$A, 0)), INDEX(대여현황!E:E, MATCH($A97, 대여현황!$A:$A, 0)), "")</f>
        <v/>
      </c>
      <c r="F97" s="22" t="str">
        <f>IF(ISNUMBER(MATCH($A97, 대여현황!$A:$A, 0)), INDEX(대여현황!F:F, MATCH($A97, 대여현황!$A:$A, 0)), "-")</f>
        <v>-</v>
      </c>
    </row>
    <row r="98" spans="1:6" ht="20" customHeight="1">
      <c r="A98" s="20">
        <v>536</v>
      </c>
      <c r="B98" s="21" t="s">
        <v>60</v>
      </c>
      <c r="C98" s="20" t="str">
        <f>IF(ISNUMBER(MATCH($A98, 대여현황!$A:$A, 0)), INDEX(대여현황!C:C, MATCH($A98, 대여현황!$A:$A, 0)), "")</f>
        <v/>
      </c>
      <c r="D98" s="20" t="str">
        <f>IF(ISNUMBER(MATCH($A98, 대여현황!$A:$A, 0)), INDEX(대여현황!D:D, MATCH($A98, 대여현황!$A:$A, 0)), "")</f>
        <v/>
      </c>
      <c r="E98" s="22" t="str">
        <f>IF(ISNUMBER(MATCH($A98, 대여현황!$A:$A, 0)), INDEX(대여현황!E:E, MATCH($A98, 대여현황!$A:$A, 0)), "")</f>
        <v/>
      </c>
      <c r="F98" s="22" t="str">
        <f>IF(ISNUMBER(MATCH($A98, 대여현황!$A:$A, 0)), INDEX(대여현황!F:F, MATCH($A98, 대여현황!$A:$A, 0)), "-")</f>
        <v>-</v>
      </c>
    </row>
    <row r="99" spans="1:6" ht="20" customHeight="1">
      <c r="A99" s="20">
        <v>537</v>
      </c>
      <c r="B99" s="21" t="s">
        <v>300</v>
      </c>
      <c r="C99" s="20" t="str">
        <f>IF(ISNUMBER(MATCH($A99, 대여현황!$A:$A, 0)), INDEX(대여현황!C:C, MATCH($A99, 대여현황!$A:$A, 0)), "")</f>
        <v/>
      </c>
      <c r="D99" s="20" t="str">
        <f>IF(ISNUMBER(MATCH($A99, 대여현황!$A:$A, 0)), INDEX(대여현황!D:D, MATCH($A99, 대여현황!$A:$A, 0)), "")</f>
        <v/>
      </c>
      <c r="E99" s="22" t="str">
        <f>IF(ISNUMBER(MATCH($A99, 대여현황!$A:$A, 0)), INDEX(대여현황!E:E, MATCH($A99, 대여현황!$A:$A, 0)), "")</f>
        <v/>
      </c>
      <c r="F99" s="22" t="str">
        <f>IF(ISNUMBER(MATCH($A99, 대여현황!$A:$A, 0)), INDEX(대여현황!F:F, MATCH($A99, 대여현황!$A:$A, 0)), "-")</f>
        <v>-</v>
      </c>
    </row>
    <row r="100" spans="1:6" ht="20" customHeight="1">
      <c r="A100" s="20">
        <v>538</v>
      </c>
      <c r="B100" s="21" t="s">
        <v>18</v>
      </c>
      <c r="C100" s="20" t="str">
        <f>IF(ISNUMBER(MATCH($A100, 대여현황!$A:$A, 0)), INDEX(대여현황!C:C, MATCH($A100, 대여현황!$A:$A, 0)), "")</f>
        <v/>
      </c>
      <c r="D100" s="20" t="str">
        <f>IF(ISNUMBER(MATCH($A100, 대여현황!$A:$A, 0)), INDEX(대여현황!D:D, MATCH($A100, 대여현황!$A:$A, 0)), "")</f>
        <v/>
      </c>
      <c r="E100" s="22" t="str">
        <f>IF(ISNUMBER(MATCH($A100, 대여현황!$A:$A, 0)), INDEX(대여현황!E:E, MATCH($A100, 대여현황!$A:$A, 0)), "")</f>
        <v/>
      </c>
      <c r="F100" s="22" t="str">
        <f>IF(ISNUMBER(MATCH($A100, 대여현황!$A:$A, 0)), INDEX(대여현황!F:F, MATCH($A100, 대여현황!$A:$A, 0)), "-")</f>
        <v>-</v>
      </c>
    </row>
    <row r="101" spans="1:6" ht="20" customHeight="1">
      <c r="A101" s="20">
        <v>539</v>
      </c>
      <c r="B101" s="21" t="s">
        <v>62</v>
      </c>
      <c r="C101" s="20" t="str">
        <f>IF(ISNUMBER(MATCH($A101, 대여현황!$A:$A, 0)), INDEX(대여현황!C:C, MATCH($A101, 대여현황!$A:$A, 0)), "")</f>
        <v/>
      </c>
      <c r="D101" s="20" t="str">
        <f>IF(ISNUMBER(MATCH($A101, 대여현황!$A:$A, 0)), INDEX(대여현황!D:D, MATCH($A101, 대여현황!$A:$A, 0)), "")</f>
        <v/>
      </c>
      <c r="E101" s="22" t="str">
        <f>IF(ISNUMBER(MATCH($A101, 대여현황!$A:$A, 0)), INDEX(대여현황!E:E, MATCH($A101, 대여현황!$A:$A, 0)), "")</f>
        <v/>
      </c>
      <c r="F101" s="22" t="str">
        <f>IF(ISNUMBER(MATCH($A101, 대여현황!$A:$A, 0)), INDEX(대여현황!F:F, MATCH($A101, 대여현황!$A:$A, 0)), "-")</f>
        <v>-</v>
      </c>
    </row>
    <row r="102" spans="1:6" ht="20" customHeight="1">
      <c r="A102" s="20">
        <v>540</v>
      </c>
      <c r="B102" s="21" t="s">
        <v>62</v>
      </c>
      <c r="C102" s="20" t="str">
        <f>IF(ISNUMBER(MATCH($A102, 대여현황!$A:$A, 0)), INDEX(대여현황!C:C, MATCH($A102, 대여현황!$A:$A, 0)), "")</f>
        <v/>
      </c>
      <c r="D102" s="20" t="str">
        <f>IF(ISNUMBER(MATCH($A102, 대여현황!$A:$A, 0)), INDEX(대여현황!D:D, MATCH($A102, 대여현황!$A:$A, 0)), "")</f>
        <v/>
      </c>
      <c r="E102" s="22" t="str">
        <f>IF(ISNUMBER(MATCH($A102, 대여현황!$A:$A, 0)), INDEX(대여현황!E:E, MATCH($A102, 대여현황!$A:$A, 0)), "")</f>
        <v/>
      </c>
      <c r="F102" s="22" t="str">
        <f>IF(ISNUMBER(MATCH($A102, 대여현황!$A:$A, 0)), INDEX(대여현황!F:F, MATCH($A102, 대여현황!$A:$A, 0)), "-")</f>
        <v>-</v>
      </c>
    </row>
    <row r="103" spans="1:6" ht="20" customHeight="1">
      <c r="A103" s="20">
        <v>541</v>
      </c>
      <c r="B103" s="21" t="s">
        <v>299</v>
      </c>
      <c r="C103" s="20" t="str">
        <f>IF(ISNUMBER(MATCH($A103, 대여현황!$A:$A, 0)), INDEX(대여현황!C:C, MATCH($A103, 대여현황!$A:$A, 0)), "")</f>
        <v/>
      </c>
      <c r="D103" s="20" t="str">
        <f>IF(ISNUMBER(MATCH($A103, 대여현황!$A:$A, 0)), INDEX(대여현황!D:D, MATCH($A103, 대여현황!$A:$A, 0)), "")</f>
        <v/>
      </c>
      <c r="E103" s="22" t="str">
        <f>IF(ISNUMBER(MATCH($A103, 대여현황!$A:$A, 0)), INDEX(대여현황!E:E, MATCH($A103, 대여현황!$A:$A, 0)), "")</f>
        <v/>
      </c>
      <c r="F103" s="22" t="str">
        <f>IF(ISNUMBER(MATCH($A103, 대여현황!$A:$A, 0)), INDEX(대여현황!F:F, MATCH($A103, 대여현황!$A:$A, 0)), "-")</f>
        <v>-</v>
      </c>
    </row>
    <row r="104" spans="1:6" ht="20" customHeight="1">
      <c r="A104" s="20">
        <v>542</v>
      </c>
      <c r="B104" s="21" t="s">
        <v>156</v>
      </c>
      <c r="C104" s="20" t="str">
        <f>IF(ISNUMBER(MATCH($A104, 대여현황!$A:$A, 0)), INDEX(대여현황!C:C, MATCH($A104, 대여현황!$A:$A, 0)), "")</f>
        <v/>
      </c>
      <c r="D104" s="20" t="str">
        <f>IF(ISNUMBER(MATCH($A104, 대여현황!$A:$A, 0)), INDEX(대여현황!D:D, MATCH($A104, 대여현황!$A:$A, 0)), "")</f>
        <v/>
      </c>
      <c r="E104" s="22" t="str">
        <f>IF(ISNUMBER(MATCH($A104, 대여현황!$A:$A, 0)), INDEX(대여현황!E:E, MATCH($A104, 대여현황!$A:$A, 0)), "")</f>
        <v/>
      </c>
      <c r="F104" s="22" t="str">
        <f>IF(ISNUMBER(MATCH($A104, 대여현황!$A:$A, 0)), INDEX(대여현황!F:F, MATCH($A104, 대여현황!$A:$A, 0)), "-")</f>
        <v>-</v>
      </c>
    </row>
    <row r="105" spans="1:6" ht="20" customHeight="1">
      <c r="A105" s="20">
        <v>543</v>
      </c>
      <c r="B105" s="21" t="s">
        <v>237</v>
      </c>
      <c r="C105" s="20" t="str">
        <f>IF(ISNUMBER(MATCH($A105, 대여현황!$A:$A, 0)), INDEX(대여현황!C:C, MATCH($A105, 대여현황!$A:$A, 0)), "")</f>
        <v/>
      </c>
      <c r="D105" s="20" t="str">
        <f>IF(ISNUMBER(MATCH($A105, 대여현황!$A:$A, 0)), INDEX(대여현황!D:D, MATCH($A105, 대여현황!$A:$A, 0)), "")</f>
        <v/>
      </c>
      <c r="E105" s="22" t="str">
        <f>IF(ISNUMBER(MATCH($A105, 대여현황!$A:$A, 0)), INDEX(대여현황!E:E, MATCH($A105, 대여현황!$A:$A, 0)), "")</f>
        <v/>
      </c>
      <c r="F105" s="22" t="str">
        <f>IF(ISNUMBER(MATCH($A105, 대여현황!$A:$A, 0)), INDEX(대여현황!F:F, MATCH($A105, 대여현황!$A:$A, 0)), "-")</f>
        <v>-</v>
      </c>
    </row>
    <row r="106" spans="1:6" ht="20" customHeight="1">
      <c r="A106" s="20">
        <v>544</v>
      </c>
      <c r="B106" s="21" t="s">
        <v>181</v>
      </c>
      <c r="C106" s="20" t="str">
        <f>IF(ISNUMBER(MATCH($A106, 대여현황!$A:$A, 0)), INDEX(대여현황!C:C, MATCH($A106, 대여현황!$A:$A, 0)), "")</f>
        <v/>
      </c>
      <c r="D106" s="20" t="str">
        <f>IF(ISNUMBER(MATCH($A106, 대여현황!$A:$A, 0)), INDEX(대여현황!D:D, MATCH($A106, 대여현황!$A:$A, 0)), "")</f>
        <v/>
      </c>
      <c r="E106" s="22" t="str">
        <f>IF(ISNUMBER(MATCH($A106, 대여현황!$A:$A, 0)), INDEX(대여현황!E:E, MATCH($A106, 대여현황!$A:$A, 0)), "")</f>
        <v/>
      </c>
      <c r="F106" s="22" t="str">
        <f>IF(ISNUMBER(MATCH($A106, 대여현황!$A:$A, 0)), INDEX(대여현황!F:F, MATCH($A106, 대여현황!$A:$A, 0)), "-")</f>
        <v>-</v>
      </c>
    </row>
    <row r="107" spans="1:6" ht="20" customHeight="1">
      <c r="A107" s="20">
        <v>545</v>
      </c>
      <c r="B107" s="21" t="s">
        <v>221</v>
      </c>
      <c r="C107" s="20" t="str">
        <f>IF(ISNUMBER(MATCH($A107, 대여현황!$A:$A, 0)), INDEX(대여현황!C:C, MATCH($A107, 대여현황!$A:$A, 0)), "")</f>
        <v/>
      </c>
      <c r="D107" s="20" t="str">
        <f>IF(ISNUMBER(MATCH($A107, 대여현황!$A:$A, 0)), INDEX(대여현황!D:D, MATCH($A107, 대여현황!$A:$A, 0)), "")</f>
        <v/>
      </c>
      <c r="E107" s="22" t="str">
        <f>IF(ISNUMBER(MATCH($A107, 대여현황!$A:$A, 0)), INDEX(대여현황!E:E, MATCH($A107, 대여현황!$A:$A, 0)), "")</f>
        <v/>
      </c>
      <c r="F107" s="22" t="str">
        <f>IF(ISNUMBER(MATCH($A107, 대여현황!$A:$A, 0)), INDEX(대여현황!F:F, MATCH($A107, 대여현황!$A:$A, 0)), "-")</f>
        <v>-</v>
      </c>
    </row>
    <row r="108" spans="1:6" ht="20" customHeight="1">
      <c r="A108" s="20">
        <v>546</v>
      </c>
      <c r="B108" s="21" t="s">
        <v>240</v>
      </c>
      <c r="C108" s="20" t="str">
        <f>IF(ISNUMBER(MATCH($A108, 대여현황!$A:$A, 0)), INDEX(대여현황!C:C, MATCH($A108, 대여현황!$A:$A, 0)), "")</f>
        <v/>
      </c>
      <c r="D108" s="20" t="str">
        <f>IF(ISNUMBER(MATCH($A108, 대여현황!$A:$A, 0)), INDEX(대여현황!D:D, MATCH($A108, 대여현황!$A:$A, 0)), "")</f>
        <v/>
      </c>
      <c r="E108" s="22" t="str">
        <f>IF(ISNUMBER(MATCH($A108, 대여현황!$A:$A, 0)), INDEX(대여현황!E:E, MATCH($A108, 대여현황!$A:$A, 0)), "")</f>
        <v/>
      </c>
      <c r="F108" s="22" t="str">
        <f>IF(ISNUMBER(MATCH($A108, 대여현황!$A:$A, 0)), INDEX(대여현황!F:F, MATCH($A108, 대여현황!$A:$A, 0)), "-")</f>
        <v>-</v>
      </c>
    </row>
    <row r="109" spans="1:6" ht="20" customHeight="1">
      <c r="A109" s="20">
        <v>547</v>
      </c>
      <c r="B109" s="21"/>
      <c r="C109" s="20" t="str">
        <f>IF(ISNUMBER(MATCH($A109, 대여현황!$A:$A, 0)), INDEX(대여현황!C:C, MATCH($A109, 대여현황!$A:$A, 0)), "")</f>
        <v/>
      </c>
      <c r="D109" s="20" t="str">
        <f>IF(ISNUMBER(MATCH($A109, 대여현황!$A:$A, 0)), INDEX(대여현황!D:D, MATCH($A109, 대여현황!$A:$A, 0)), "")</f>
        <v/>
      </c>
      <c r="E109" s="22" t="str">
        <f>IF(ISNUMBER(MATCH($A109, 대여현황!$A:$A, 0)), INDEX(대여현황!E:E, MATCH($A109, 대여현황!$A:$A, 0)), "")</f>
        <v/>
      </c>
      <c r="F109" s="22" t="str">
        <f>IF(ISNUMBER(MATCH($A109, 대여현황!$A:$A, 0)), INDEX(대여현황!F:F, MATCH($A109, 대여현황!$A:$A, 0)), "-")</f>
        <v>-</v>
      </c>
    </row>
    <row r="110" spans="1:6" ht="20" customHeight="1">
      <c r="A110" s="20">
        <v>548</v>
      </c>
      <c r="B110" s="21"/>
      <c r="C110" s="20" t="str">
        <f>IF(ISNUMBER(MATCH($A110, 대여현황!$A:$A, 0)), INDEX(대여현황!C:C, MATCH($A110, 대여현황!$A:$A, 0)), "")</f>
        <v/>
      </c>
      <c r="D110" s="20" t="str">
        <f>IF(ISNUMBER(MATCH($A110, 대여현황!$A:$A, 0)), INDEX(대여현황!D:D, MATCH($A110, 대여현황!$A:$A, 0)), "")</f>
        <v/>
      </c>
      <c r="E110" s="22" t="str">
        <f>IF(ISNUMBER(MATCH($A110, 대여현황!$A:$A, 0)), INDEX(대여현황!E:E, MATCH($A110, 대여현황!$A:$A, 0)), "")</f>
        <v/>
      </c>
      <c r="F110" s="22" t="str">
        <f>IF(ISNUMBER(MATCH($A110, 대여현황!$A:$A, 0)), INDEX(대여현황!F:F, MATCH($A110, 대여현황!$A:$A, 0)), "-")</f>
        <v>-</v>
      </c>
    </row>
    <row r="111" spans="1:6" ht="20" customHeight="1">
      <c r="A111" s="20">
        <v>549</v>
      </c>
      <c r="B111" s="21"/>
      <c r="C111" s="20" t="str">
        <f>IF(ISNUMBER(MATCH($A111, 대여현황!$A:$A, 0)), INDEX(대여현황!C:C, MATCH($A111, 대여현황!$A:$A, 0)), "")</f>
        <v/>
      </c>
      <c r="D111" s="20" t="str">
        <f>IF(ISNUMBER(MATCH($A111, 대여현황!$A:$A, 0)), INDEX(대여현황!D:D, MATCH($A111, 대여현황!$A:$A, 0)), "")</f>
        <v/>
      </c>
      <c r="E111" s="22" t="str">
        <f>IF(ISNUMBER(MATCH($A111, 대여현황!$A:$A, 0)), INDEX(대여현황!E:E, MATCH($A111, 대여현황!$A:$A, 0)), "")</f>
        <v/>
      </c>
      <c r="F111" s="22" t="str">
        <f>IF(ISNUMBER(MATCH($A111, 대여현황!$A:$A, 0)), INDEX(대여현황!F:F, MATCH($A111, 대여현황!$A:$A, 0)), "-")</f>
        <v>-</v>
      </c>
    </row>
    <row r="112" spans="1:6" ht="20" customHeight="1">
      <c r="A112" s="20">
        <v>550</v>
      </c>
      <c r="B112" s="21"/>
      <c r="C112" s="20" t="str">
        <f>IF(ISNUMBER(MATCH($A112, 대여현황!$A:$A, 0)), INDEX(대여현황!C:C, MATCH($A112, 대여현황!$A:$A, 0)), "")</f>
        <v/>
      </c>
      <c r="D112" s="20" t="str">
        <f>IF(ISNUMBER(MATCH($A112, 대여현황!$A:$A, 0)), INDEX(대여현황!D:D, MATCH($A112, 대여현황!$A:$A, 0)), "")</f>
        <v/>
      </c>
      <c r="E112" s="22" t="str">
        <f>IF(ISNUMBER(MATCH($A112, 대여현황!$A:$A, 0)), INDEX(대여현황!E:E, MATCH($A112, 대여현황!$A:$A, 0)), "")</f>
        <v/>
      </c>
      <c r="F112" s="22" t="str">
        <f>IF(ISNUMBER(MATCH($A112, 대여현황!$A:$A, 0)), INDEX(대여현황!F:F, MATCH($A112, 대여현황!$A:$A, 0)), "-")</f>
        <v>-</v>
      </c>
    </row>
    <row r="113" spans="1:6" ht="20" customHeight="1">
      <c r="A113" s="20"/>
      <c r="B113" s="21"/>
      <c r="C113" s="20" t="str">
        <f>IF(ISNUMBER(MATCH($A113, 대여현황!$A:$A, 0)), INDEX(대여현황!C:C, MATCH($A113, 대여현황!$A:$A, 0)), "")</f>
        <v/>
      </c>
      <c r="D113" s="20" t="str">
        <f>IF(ISNUMBER(MATCH($A113, 대여현황!$A:$A, 0)), INDEX(대여현황!D:D, MATCH($A113, 대여현황!$A:$A, 0)), "")</f>
        <v/>
      </c>
      <c r="E113" s="22" t="str">
        <f>IF(ISNUMBER(MATCH($A113, 대여현황!$A:$A, 0)), INDEX(대여현황!E:E, MATCH($A113, 대여현황!$A:$A, 0)), "")</f>
        <v/>
      </c>
      <c r="F113" s="22" t="str">
        <f>IF(ISNUMBER(MATCH($A113, 대여현황!$A:$A, 0)), INDEX(대여현황!F:F, MATCH($A113, 대여현황!$A:$A, 0)), "-")</f>
        <v>-</v>
      </c>
    </row>
    <row r="114" spans="1:6" ht="20" customHeight="1">
      <c r="A114" s="20"/>
      <c r="B114" s="21"/>
      <c r="C114" s="20" t="str">
        <f>IF(ISNUMBER(MATCH($A114, 대여현황!$A:$A, 0)), INDEX(대여현황!C:C, MATCH($A114, 대여현황!$A:$A, 0)), "")</f>
        <v/>
      </c>
      <c r="D114" s="20" t="str">
        <f>IF(ISNUMBER(MATCH($A114, 대여현황!$A:$A, 0)), INDEX(대여현황!D:D, MATCH($A114, 대여현황!$A:$A, 0)), "")</f>
        <v/>
      </c>
      <c r="E114" s="22" t="str">
        <f>IF(ISNUMBER(MATCH($A114, 대여현황!$A:$A, 0)), INDEX(대여현황!E:E, MATCH($A114, 대여현황!$A:$A, 0)), "")</f>
        <v/>
      </c>
      <c r="F114" s="22" t="str">
        <f>IF(ISNUMBER(MATCH($A114, 대여현황!$A:$A, 0)), INDEX(대여현황!F:F, MATCH($A114, 대여현황!$A:$A, 0)), "-")</f>
        <v>-</v>
      </c>
    </row>
    <row r="115" spans="1:6" ht="20" customHeight="1">
      <c r="A115" s="20"/>
      <c r="B115" s="21"/>
      <c r="C115" s="20" t="str">
        <f>IF(ISNUMBER(MATCH($A115, 대여현황!$A:$A, 0)), INDEX(대여현황!C:C, MATCH($A115, 대여현황!$A:$A, 0)), "")</f>
        <v/>
      </c>
      <c r="D115" s="20" t="str">
        <f>IF(ISNUMBER(MATCH($A115, 대여현황!$A:$A, 0)), INDEX(대여현황!D:D, MATCH($A115, 대여현황!$A:$A, 0)), "")</f>
        <v/>
      </c>
      <c r="E115" s="22" t="str">
        <f>IF(ISNUMBER(MATCH($A115, 대여현황!$A:$A, 0)), INDEX(대여현황!E:E, MATCH($A115, 대여현황!$A:$A, 0)), "")</f>
        <v/>
      </c>
      <c r="F115" s="22" t="str">
        <f>IF(ISNUMBER(MATCH($A115, 대여현황!$A:$A, 0)), INDEX(대여현황!F:F, MATCH($A115, 대여현황!$A:$A, 0)), "-")</f>
        <v>-</v>
      </c>
    </row>
    <row r="116" spans="1:6" ht="20" customHeight="1">
      <c r="A116" s="20"/>
      <c r="B116" s="21"/>
      <c r="C116" s="20" t="str">
        <f>IF(ISNUMBER(MATCH($A116, 대여현황!$A:$A, 0)), INDEX(대여현황!C:C, MATCH($A116, 대여현황!$A:$A, 0)), "")</f>
        <v/>
      </c>
      <c r="D116" s="20" t="str">
        <f>IF(ISNUMBER(MATCH($A116, 대여현황!$A:$A, 0)), INDEX(대여현황!D:D, MATCH($A116, 대여현황!$A:$A, 0)), "")</f>
        <v/>
      </c>
      <c r="E116" s="22" t="str">
        <f>IF(ISNUMBER(MATCH($A116, 대여현황!$A:$A, 0)), INDEX(대여현황!E:E, MATCH($A116, 대여현황!$A:$A, 0)), "")</f>
        <v/>
      </c>
      <c r="F116" s="22" t="str">
        <f>IF(ISNUMBER(MATCH($A116, 대여현황!$A:$A, 0)), INDEX(대여현황!F:F, MATCH($A116, 대여현황!$A:$A, 0)), "-")</f>
        <v>-</v>
      </c>
    </row>
    <row r="117" spans="1:6" ht="20" customHeight="1">
      <c r="A117" s="20"/>
      <c r="B117" s="21"/>
      <c r="C117" s="20" t="str">
        <f>IF(ISNUMBER(MATCH($A117, 대여현황!$A:$A, 0)), INDEX(대여현황!C:C, MATCH($A117, 대여현황!$A:$A, 0)), "")</f>
        <v/>
      </c>
      <c r="D117" s="20" t="str">
        <f>IF(ISNUMBER(MATCH($A117, 대여현황!$A:$A, 0)), INDEX(대여현황!D:D, MATCH($A117, 대여현황!$A:$A, 0)), "")</f>
        <v/>
      </c>
      <c r="E117" s="22" t="str">
        <f>IF(ISNUMBER(MATCH($A117, 대여현황!$A:$A, 0)), INDEX(대여현황!E:E, MATCH($A117, 대여현황!$A:$A, 0)), "")</f>
        <v/>
      </c>
      <c r="F117" s="22" t="str">
        <f>IF(ISNUMBER(MATCH($A117, 대여현황!$A:$A, 0)), INDEX(대여현황!F:F, MATCH($A117, 대여현황!$A:$A, 0)), "-")</f>
        <v>-</v>
      </c>
    </row>
    <row r="118" spans="1:6" ht="20" customHeight="1">
      <c r="A118" s="20"/>
      <c r="B118" s="21"/>
      <c r="C118" s="20" t="str">
        <f>IF(ISNUMBER(MATCH($A118, 대여현황!$A:$A, 0)), INDEX(대여현황!C:C, MATCH($A118, 대여현황!$A:$A, 0)), "")</f>
        <v/>
      </c>
      <c r="D118" s="20" t="str">
        <f>IF(ISNUMBER(MATCH($A118, 대여현황!$A:$A, 0)), INDEX(대여현황!D:D, MATCH($A118, 대여현황!$A:$A, 0)), "")</f>
        <v/>
      </c>
      <c r="E118" s="22" t="str">
        <f>IF(ISNUMBER(MATCH($A118, 대여현황!$A:$A, 0)), INDEX(대여현황!E:E, MATCH($A118, 대여현황!$A:$A, 0)), "")</f>
        <v/>
      </c>
      <c r="F118" s="22" t="str">
        <f>IF(ISNUMBER(MATCH($A118, 대여현황!$A:$A, 0)), INDEX(대여현황!F:F, MATCH($A118, 대여현황!$A:$A, 0)), "-")</f>
        <v>-</v>
      </c>
    </row>
    <row r="119" spans="1:6" ht="20" customHeight="1">
      <c r="A119" s="20"/>
      <c r="B119" s="21"/>
      <c r="C119" s="20" t="str">
        <f>IF(ISNUMBER(MATCH($A119, 대여현황!$A:$A, 0)), INDEX(대여현황!C:C, MATCH($A119, 대여현황!$A:$A, 0)), "")</f>
        <v/>
      </c>
      <c r="D119" s="20" t="str">
        <f>IF(ISNUMBER(MATCH($A119, 대여현황!$A:$A, 0)), INDEX(대여현황!D:D, MATCH($A119, 대여현황!$A:$A, 0)), "")</f>
        <v/>
      </c>
      <c r="E119" s="22" t="str">
        <f>IF(ISNUMBER(MATCH($A119, 대여현황!$A:$A, 0)), INDEX(대여현황!E:E, MATCH($A119, 대여현황!$A:$A, 0)), "")</f>
        <v/>
      </c>
      <c r="F119" s="22" t="str">
        <f>IF(ISNUMBER(MATCH($A119, 대여현황!$A:$A, 0)), INDEX(대여현황!F:F, MATCH($A119, 대여현황!$A:$A, 0)), "-")</f>
        <v>-</v>
      </c>
    </row>
    <row r="120" spans="1:6" ht="20" customHeight="1">
      <c r="A120" s="20"/>
      <c r="B120" s="21"/>
      <c r="C120" s="20" t="str">
        <f>IF(ISNUMBER(MATCH($A120, 대여현황!$A:$A, 0)), INDEX(대여현황!C:C, MATCH($A120, 대여현황!$A:$A, 0)), "")</f>
        <v/>
      </c>
      <c r="D120" s="20" t="str">
        <f>IF(ISNUMBER(MATCH($A120, 대여현황!$A:$A, 0)), INDEX(대여현황!D:D, MATCH($A120, 대여현황!$A:$A, 0)), "")</f>
        <v/>
      </c>
      <c r="E120" s="22" t="str">
        <f>IF(ISNUMBER(MATCH($A120, 대여현황!$A:$A, 0)), INDEX(대여현황!E:E, MATCH($A120, 대여현황!$A:$A, 0)), "")</f>
        <v/>
      </c>
      <c r="F120" s="22" t="str">
        <f>IF(ISNUMBER(MATCH($A120, 대여현황!$A:$A, 0)), INDEX(대여현황!F:F, MATCH($A120, 대여현황!$A:$A, 0)), "-")</f>
        <v>-</v>
      </c>
    </row>
    <row r="121" spans="1:6" ht="20" customHeight="1">
      <c r="A121" s="20"/>
      <c r="B121" s="21"/>
      <c r="C121" s="20" t="str">
        <f>IF(ISNUMBER(MATCH($A121, 대여현황!$A:$A, 0)), INDEX(대여현황!C:C, MATCH($A121, 대여현황!$A:$A, 0)), "")</f>
        <v/>
      </c>
      <c r="D121" s="20" t="str">
        <f>IF(ISNUMBER(MATCH($A121, 대여현황!$A:$A, 0)), INDEX(대여현황!D:D, MATCH($A121, 대여현황!$A:$A, 0)), "")</f>
        <v/>
      </c>
      <c r="E121" s="22" t="str">
        <f>IF(ISNUMBER(MATCH($A121, 대여현황!$A:$A, 0)), INDEX(대여현황!E:E, MATCH($A121, 대여현황!$A:$A, 0)), "")</f>
        <v/>
      </c>
      <c r="F121" s="22" t="str">
        <f>IF(ISNUMBER(MATCH($A121, 대여현황!$A:$A, 0)), INDEX(대여현황!F:F, MATCH($A121, 대여현황!$A:$A, 0)), "-")</f>
        <v>-</v>
      </c>
    </row>
    <row r="122" spans="1:6" ht="20" customHeight="1">
      <c r="A122" s="20"/>
      <c r="B122" s="21"/>
      <c r="C122" s="20" t="str">
        <f>IF(ISNUMBER(MATCH($A122, 대여현황!$A:$A, 0)), INDEX(대여현황!C:C, MATCH($A122, 대여현황!$A:$A, 0)), "")</f>
        <v/>
      </c>
      <c r="D122" s="20" t="str">
        <f>IF(ISNUMBER(MATCH($A122, 대여현황!$A:$A, 0)), INDEX(대여현황!D:D, MATCH($A122, 대여현황!$A:$A, 0)), "")</f>
        <v/>
      </c>
      <c r="E122" s="22" t="str">
        <f>IF(ISNUMBER(MATCH($A122, 대여현황!$A:$A, 0)), INDEX(대여현황!E:E, MATCH($A122, 대여현황!$A:$A, 0)), "")</f>
        <v/>
      </c>
      <c r="F122" s="22" t="str">
        <f>IF(ISNUMBER(MATCH($A122, 대여현황!$A:$A, 0)), INDEX(대여현황!F:F, MATCH($A122, 대여현황!$A:$A, 0)), "-")</f>
        <v>-</v>
      </c>
    </row>
    <row r="123" spans="1:6" ht="20" customHeight="1">
      <c r="A123" s="20"/>
      <c r="B123" s="21"/>
      <c r="C123" s="20" t="str">
        <f>IF(ISNUMBER(MATCH($A123, 대여현황!$A:$A, 0)), INDEX(대여현황!C:C, MATCH($A123, 대여현황!$A:$A, 0)), "")</f>
        <v/>
      </c>
      <c r="D123" s="20" t="str">
        <f>IF(ISNUMBER(MATCH($A123, 대여현황!$A:$A, 0)), INDEX(대여현황!D:D, MATCH($A123, 대여현황!$A:$A, 0)), "")</f>
        <v/>
      </c>
      <c r="E123" s="22" t="str">
        <f>IF(ISNUMBER(MATCH($A123, 대여현황!$A:$A, 0)), INDEX(대여현황!E:E, MATCH($A123, 대여현황!$A:$A, 0)), "")</f>
        <v/>
      </c>
      <c r="F123" s="22" t="str">
        <f>IF(ISNUMBER(MATCH($A123, 대여현황!$A:$A, 0)), INDEX(대여현황!F:F, MATCH($A123, 대여현황!$A:$A, 0)), "-")</f>
        <v>-</v>
      </c>
    </row>
    <row r="124" spans="1:6" ht="20" customHeight="1">
      <c r="A124" s="20"/>
      <c r="B124" s="21"/>
      <c r="C124" s="20" t="str">
        <f>IF(ISNUMBER(MATCH($A124, 대여현황!$A:$A, 0)), INDEX(대여현황!C:C, MATCH($A124, 대여현황!$A:$A, 0)), "")</f>
        <v/>
      </c>
      <c r="D124" s="20" t="str">
        <f>IF(ISNUMBER(MATCH($A124, 대여현황!$A:$A, 0)), INDEX(대여현황!D:D, MATCH($A124, 대여현황!$A:$A, 0)), "")</f>
        <v/>
      </c>
      <c r="E124" s="22" t="str">
        <f>IF(ISNUMBER(MATCH($A124, 대여현황!$A:$A, 0)), INDEX(대여현황!E:E, MATCH($A124, 대여현황!$A:$A, 0)), "")</f>
        <v/>
      </c>
      <c r="F124" s="22" t="str">
        <f>IF(ISNUMBER(MATCH($A124, 대여현황!$A:$A, 0)), INDEX(대여현황!F:F, MATCH($A124, 대여현황!$A:$A, 0)), "-")</f>
        <v>-</v>
      </c>
    </row>
    <row r="125" spans="1:6" ht="20" customHeight="1">
      <c r="A125" s="20"/>
      <c r="B125" s="21"/>
      <c r="C125" s="20" t="str">
        <f>IF(ISNUMBER(MATCH($A125, 대여현황!$A:$A, 0)), INDEX(대여현황!C:C, MATCH($A125, 대여현황!$A:$A, 0)), "")</f>
        <v/>
      </c>
      <c r="D125" s="20" t="str">
        <f>IF(ISNUMBER(MATCH($A125, 대여현황!$A:$A, 0)), INDEX(대여현황!D:D, MATCH($A125, 대여현황!$A:$A, 0)), "")</f>
        <v/>
      </c>
      <c r="E125" s="22" t="str">
        <f>IF(ISNUMBER(MATCH($A125, 대여현황!$A:$A, 0)), INDEX(대여현황!E:E, MATCH($A125, 대여현황!$A:$A, 0)), "")</f>
        <v/>
      </c>
      <c r="F125" s="22" t="str">
        <f>IF(ISNUMBER(MATCH($A125, 대여현황!$A:$A, 0)), INDEX(대여현황!F:F, MATCH($A125, 대여현황!$A:$A, 0)), "-")</f>
        <v>-</v>
      </c>
    </row>
    <row r="126" spans="1:6" ht="20" customHeight="1">
      <c r="A126" s="20"/>
      <c r="B126" s="21"/>
      <c r="C126" s="20" t="str">
        <f>IF(ISNUMBER(MATCH($A126, 대여현황!$A:$A, 0)), INDEX(대여현황!C:C, MATCH($A126, 대여현황!$A:$A, 0)), "")</f>
        <v/>
      </c>
      <c r="D126" s="20" t="str">
        <f>IF(ISNUMBER(MATCH($A126, 대여현황!$A:$A, 0)), INDEX(대여현황!D:D, MATCH($A126, 대여현황!$A:$A, 0)), "")</f>
        <v/>
      </c>
      <c r="E126" s="22" t="str">
        <f>IF(ISNUMBER(MATCH($A126, 대여현황!$A:$A, 0)), INDEX(대여현황!E:E, MATCH($A126, 대여현황!$A:$A, 0)), "")</f>
        <v/>
      </c>
      <c r="F126" s="22" t="str">
        <f>IF(ISNUMBER(MATCH($A126, 대여현황!$A:$A, 0)), INDEX(대여현황!F:F, MATCH($A126, 대여현황!$A:$A, 0)), "-")</f>
        <v>-</v>
      </c>
    </row>
    <row r="127" spans="1:6" ht="20" customHeight="1">
      <c r="A127" s="20"/>
      <c r="B127" s="21"/>
      <c r="C127" s="20" t="str">
        <f>IF(ISNUMBER(MATCH($A127, 대여현황!$A:$A, 0)), INDEX(대여현황!C:C, MATCH($A127, 대여현황!$A:$A, 0)), "")</f>
        <v/>
      </c>
      <c r="D127" s="20" t="str">
        <f>IF(ISNUMBER(MATCH($A127, 대여현황!$A:$A, 0)), INDEX(대여현황!D:D, MATCH($A127, 대여현황!$A:$A, 0)), "")</f>
        <v/>
      </c>
      <c r="E127" s="22" t="str">
        <f>IF(ISNUMBER(MATCH($A127, 대여현황!$A:$A, 0)), INDEX(대여현황!E:E, MATCH($A127, 대여현황!$A:$A, 0)), "")</f>
        <v/>
      </c>
      <c r="F127" s="22" t="str">
        <f>IF(ISNUMBER(MATCH($A127, 대여현황!$A:$A, 0)), INDEX(대여현황!F:F, MATCH($A127, 대여현황!$A:$A, 0)), "-")</f>
        <v>-</v>
      </c>
    </row>
    <row r="128" spans="1:6" ht="20" customHeight="1">
      <c r="A128" s="20"/>
      <c r="B128" s="21"/>
      <c r="C128" s="20" t="str">
        <f>IF(ISNUMBER(MATCH($A128, 대여현황!$A:$A, 0)), INDEX(대여현황!C:C, MATCH($A128, 대여현황!$A:$A, 0)), "")</f>
        <v/>
      </c>
      <c r="D128" s="20" t="str">
        <f>IF(ISNUMBER(MATCH($A128, 대여현황!$A:$A, 0)), INDEX(대여현황!D:D, MATCH($A128, 대여현황!$A:$A, 0)), "")</f>
        <v/>
      </c>
      <c r="E128" s="22" t="str">
        <f>IF(ISNUMBER(MATCH($A128, 대여현황!$A:$A, 0)), INDEX(대여현황!E:E, MATCH($A128, 대여현황!$A:$A, 0)), "")</f>
        <v/>
      </c>
      <c r="F128" s="22" t="str">
        <f>IF(ISNUMBER(MATCH($A128, 대여현황!$A:$A, 0)), INDEX(대여현황!F:F, MATCH($A128, 대여현황!$A:$A, 0)), "-")</f>
        <v>-</v>
      </c>
    </row>
    <row r="129" spans="1:6" ht="20" customHeight="1">
      <c r="A129" s="20"/>
      <c r="B129" s="21"/>
      <c r="C129" s="20" t="str">
        <f>IF(ISNUMBER(MATCH($A129, 대여현황!$A:$A, 0)), INDEX(대여현황!C:C, MATCH($A129, 대여현황!$A:$A, 0)), "")</f>
        <v/>
      </c>
      <c r="D129" s="20" t="str">
        <f>IF(ISNUMBER(MATCH($A129, 대여현황!$A:$A, 0)), INDEX(대여현황!D:D, MATCH($A129, 대여현황!$A:$A, 0)), "")</f>
        <v/>
      </c>
      <c r="E129" s="22" t="str">
        <f>IF(ISNUMBER(MATCH($A129, 대여현황!$A:$A, 0)), INDEX(대여현황!E:E, MATCH($A129, 대여현황!$A:$A, 0)), "")</f>
        <v/>
      </c>
      <c r="F129" s="22" t="str">
        <f>IF(ISNUMBER(MATCH($A129, 대여현황!$A:$A, 0)), INDEX(대여현황!F:F, MATCH($A129, 대여현황!$A:$A, 0)), "-")</f>
        <v>-</v>
      </c>
    </row>
    <row r="130" spans="1:6" ht="20" customHeight="1">
      <c r="A130" s="20"/>
      <c r="B130" s="21"/>
      <c r="C130" s="20" t="str">
        <f>IF(ISNUMBER(MATCH($A130, 대여현황!$A:$A, 0)), INDEX(대여현황!C:C, MATCH($A130, 대여현황!$A:$A, 0)), "")</f>
        <v/>
      </c>
      <c r="D130" s="20" t="str">
        <f>IF(ISNUMBER(MATCH($A130, 대여현황!$A:$A, 0)), INDEX(대여현황!D:D, MATCH($A130, 대여현황!$A:$A, 0)), "")</f>
        <v/>
      </c>
      <c r="E130" s="22" t="str">
        <f>IF(ISNUMBER(MATCH($A130, 대여현황!$A:$A, 0)), INDEX(대여현황!E:E, MATCH($A130, 대여현황!$A:$A, 0)), "")</f>
        <v/>
      </c>
      <c r="F130" s="22" t="str">
        <f>IF(ISNUMBER(MATCH($A130, 대여현황!$A:$A, 0)), INDEX(대여현황!F:F, MATCH($A130, 대여현황!$A:$A, 0)), "-")</f>
        <v>-</v>
      </c>
    </row>
    <row r="131" spans="1:6" ht="20" customHeight="1">
      <c r="A131" s="20"/>
      <c r="B131" s="21"/>
      <c r="C131" s="20" t="str">
        <f>IF(ISNUMBER(MATCH($A131, 대여현황!$A:$A, 0)), INDEX(대여현황!C:C, MATCH($A131, 대여현황!$A:$A, 0)), "")</f>
        <v/>
      </c>
      <c r="D131" s="20" t="str">
        <f>IF(ISNUMBER(MATCH($A131, 대여현황!$A:$A, 0)), INDEX(대여현황!D:D, MATCH($A131, 대여현황!$A:$A, 0)), "")</f>
        <v/>
      </c>
      <c r="E131" s="22" t="str">
        <f>IF(ISNUMBER(MATCH($A131, 대여현황!$A:$A, 0)), INDEX(대여현황!E:E, MATCH($A131, 대여현황!$A:$A, 0)), "")</f>
        <v/>
      </c>
      <c r="F131" s="22" t="str">
        <f>IF(ISNUMBER(MATCH($A131, 대여현황!$A:$A, 0)), INDEX(대여현황!F:F, MATCH($A131, 대여현황!$A:$A, 0)), "-")</f>
        <v>-</v>
      </c>
    </row>
    <row r="132" spans="1:6" ht="20" customHeight="1">
      <c r="A132" s="20"/>
      <c r="B132" s="21"/>
      <c r="C132" s="20" t="str">
        <f>IF(ISNUMBER(MATCH($A132, 대여현황!$A:$A, 0)), INDEX(대여현황!C:C, MATCH($A132, 대여현황!$A:$A, 0)), "")</f>
        <v/>
      </c>
      <c r="D132" s="20" t="str">
        <f>IF(ISNUMBER(MATCH($A132, 대여현황!$A:$A, 0)), INDEX(대여현황!D:D, MATCH($A132, 대여현황!$A:$A, 0)), "")</f>
        <v/>
      </c>
      <c r="E132" s="22" t="str">
        <f>IF(ISNUMBER(MATCH($A132, 대여현황!$A:$A, 0)), INDEX(대여현황!E:E, MATCH($A132, 대여현황!$A:$A, 0)), "")</f>
        <v/>
      </c>
      <c r="F132" s="22" t="str">
        <f>IF(ISNUMBER(MATCH($A132, 대여현황!$A:$A, 0)), INDEX(대여현황!F:F, MATCH($A132, 대여현황!$A:$A, 0)), "-")</f>
        <v>-</v>
      </c>
    </row>
    <row r="133" spans="1:6" ht="20" customHeight="1">
      <c r="A133" s="20"/>
      <c r="B133" s="21"/>
      <c r="C133" s="20" t="str">
        <f>IF(ISNUMBER(MATCH($A133, 대여현황!$A:$A, 0)), INDEX(대여현황!C:C, MATCH($A133, 대여현황!$A:$A, 0)), "")</f>
        <v/>
      </c>
      <c r="D133" s="20" t="str">
        <f>IF(ISNUMBER(MATCH($A133, 대여현황!$A:$A, 0)), INDEX(대여현황!D:D, MATCH($A133, 대여현황!$A:$A, 0)), "")</f>
        <v/>
      </c>
      <c r="E133" s="22" t="str">
        <f>IF(ISNUMBER(MATCH($A133, 대여현황!$A:$A, 0)), INDEX(대여현황!E:E, MATCH($A133, 대여현황!$A:$A, 0)), "")</f>
        <v/>
      </c>
      <c r="F133" s="22" t="str">
        <f>IF(ISNUMBER(MATCH($A133, 대여현황!$A:$A, 0)), INDEX(대여현황!F:F, MATCH($A133, 대여현황!$A:$A, 0)), "-")</f>
        <v>-</v>
      </c>
    </row>
    <row r="134" spans="1:6" ht="20" customHeight="1">
      <c r="A134" s="20"/>
      <c r="B134" s="21"/>
      <c r="C134" s="20" t="str">
        <f>IF(ISNUMBER(MATCH($A134, 대여현황!$A:$A, 0)), INDEX(대여현황!C:C, MATCH($A134, 대여현황!$A:$A, 0)), "")</f>
        <v/>
      </c>
      <c r="D134" s="20" t="str">
        <f>IF(ISNUMBER(MATCH($A134, 대여현황!$A:$A, 0)), INDEX(대여현황!D:D, MATCH($A134, 대여현황!$A:$A, 0)), "")</f>
        <v/>
      </c>
      <c r="E134" s="22" t="str">
        <f>IF(ISNUMBER(MATCH($A134, 대여현황!$A:$A, 0)), INDEX(대여현황!E:E, MATCH($A134, 대여현황!$A:$A, 0)), "")</f>
        <v/>
      </c>
      <c r="F134" s="22" t="str">
        <f>IF(ISNUMBER(MATCH($A134, 대여현황!$A:$A, 0)), INDEX(대여현황!F:F, MATCH($A134, 대여현황!$A:$A, 0)), "-")</f>
        <v>-</v>
      </c>
    </row>
    <row r="135" spans="1:6" ht="20" customHeight="1">
      <c r="A135" s="20"/>
      <c r="B135" s="21"/>
      <c r="C135" s="20" t="str">
        <f>IF(ISNUMBER(MATCH($A135, 대여현황!$A:$A, 0)), INDEX(대여현황!C:C, MATCH($A135, 대여현황!$A:$A, 0)), "")</f>
        <v/>
      </c>
      <c r="D135" s="20" t="str">
        <f>IF(ISNUMBER(MATCH($A135, 대여현황!$A:$A, 0)), INDEX(대여현황!D:D, MATCH($A135, 대여현황!$A:$A, 0)), "")</f>
        <v/>
      </c>
      <c r="E135" s="22" t="str">
        <f>IF(ISNUMBER(MATCH($A135, 대여현황!$A:$A, 0)), INDEX(대여현황!E:E, MATCH($A135, 대여현황!$A:$A, 0)), "")</f>
        <v/>
      </c>
      <c r="F135" s="22" t="str">
        <f>IF(ISNUMBER(MATCH($A135, 대여현황!$A:$A, 0)), INDEX(대여현황!F:F, MATCH($A135, 대여현황!$A:$A, 0)), "-")</f>
        <v>-</v>
      </c>
    </row>
    <row r="136" spans="1:6" ht="20" customHeight="1">
      <c r="A136" s="20"/>
      <c r="B136" s="21"/>
      <c r="C136" s="20" t="str">
        <f>IF(ISNUMBER(MATCH($A136, 대여현황!$A:$A, 0)), INDEX(대여현황!C:C, MATCH($A136, 대여현황!$A:$A, 0)), "")</f>
        <v/>
      </c>
      <c r="D136" s="20" t="str">
        <f>IF(ISNUMBER(MATCH($A136, 대여현황!$A:$A, 0)), INDEX(대여현황!D:D, MATCH($A136, 대여현황!$A:$A, 0)), "")</f>
        <v/>
      </c>
      <c r="E136" s="22" t="str">
        <f>IF(ISNUMBER(MATCH($A136, 대여현황!$A:$A, 0)), INDEX(대여현황!E:E, MATCH($A136, 대여현황!$A:$A, 0)), "")</f>
        <v/>
      </c>
      <c r="F136" s="22" t="str">
        <f>IF(ISNUMBER(MATCH($A136, 대여현황!$A:$A, 0)), INDEX(대여현황!F:F, MATCH($A136, 대여현황!$A:$A, 0)), "-")</f>
        <v>-</v>
      </c>
    </row>
    <row r="137" spans="1:6" ht="20" customHeight="1">
      <c r="A137" s="20"/>
      <c r="B137" s="21"/>
      <c r="C137" s="20" t="str">
        <f>IF(ISNUMBER(MATCH($A137, 대여현황!$A:$A, 0)), INDEX(대여현황!C:C, MATCH($A137, 대여현황!$A:$A, 0)), "")</f>
        <v/>
      </c>
      <c r="D137" s="20" t="str">
        <f>IF(ISNUMBER(MATCH($A137, 대여현황!$A:$A, 0)), INDEX(대여현황!D:D, MATCH($A137, 대여현황!$A:$A, 0)), "")</f>
        <v/>
      </c>
      <c r="E137" s="22" t="str">
        <f>IF(ISNUMBER(MATCH($A137, 대여현황!$A:$A, 0)), INDEX(대여현황!E:E, MATCH($A137, 대여현황!$A:$A, 0)), "")</f>
        <v/>
      </c>
      <c r="F137" s="22" t="str">
        <f>IF(ISNUMBER(MATCH($A137, 대여현황!$A:$A, 0)), INDEX(대여현황!F:F, MATCH($A137, 대여현황!$A:$A, 0)), "-")</f>
        <v>-</v>
      </c>
    </row>
    <row r="138" spans="1:6" ht="20" customHeight="1">
      <c r="A138" s="20"/>
      <c r="B138" s="21"/>
      <c r="C138" s="20" t="str">
        <f>IF(ISNUMBER(MATCH($A138, 대여현황!$A:$A, 0)), INDEX(대여현황!C:C, MATCH($A138, 대여현황!$A:$A, 0)), "")</f>
        <v/>
      </c>
      <c r="D138" s="20" t="str">
        <f>IF(ISNUMBER(MATCH($A138, 대여현황!$A:$A, 0)), INDEX(대여현황!D:D, MATCH($A138, 대여현황!$A:$A, 0)), "")</f>
        <v/>
      </c>
      <c r="E138" s="22" t="str">
        <f>IF(ISNUMBER(MATCH($A138, 대여현황!$A:$A, 0)), INDEX(대여현황!E:E, MATCH($A138, 대여현황!$A:$A, 0)), "")</f>
        <v/>
      </c>
      <c r="F138" s="22" t="str">
        <f>IF(ISNUMBER(MATCH($A138, 대여현황!$A:$A, 0)), INDEX(대여현황!F:F, MATCH($A138, 대여현황!$A:$A, 0)), "-")</f>
        <v>-</v>
      </c>
    </row>
    <row r="139" spans="1:6" ht="20" customHeight="1">
      <c r="A139" s="20"/>
      <c r="B139" s="21"/>
      <c r="C139" s="20" t="str">
        <f>IF(ISNUMBER(MATCH($A139, 대여현황!$A:$A, 0)), INDEX(대여현황!C:C, MATCH($A139, 대여현황!$A:$A, 0)), "")</f>
        <v/>
      </c>
      <c r="D139" s="20" t="str">
        <f>IF(ISNUMBER(MATCH($A139, 대여현황!$A:$A, 0)), INDEX(대여현황!D:D, MATCH($A139, 대여현황!$A:$A, 0)), "")</f>
        <v/>
      </c>
      <c r="E139" s="22" t="str">
        <f>IF(ISNUMBER(MATCH($A139, 대여현황!$A:$A, 0)), INDEX(대여현황!E:E, MATCH($A139, 대여현황!$A:$A, 0)), "")</f>
        <v/>
      </c>
      <c r="F139" s="22" t="str">
        <f>IF(ISNUMBER(MATCH($A139, 대여현황!$A:$A, 0)), INDEX(대여현황!F:F, MATCH($A139, 대여현황!$A:$A, 0)), "-")</f>
        <v>-</v>
      </c>
    </row>
    <row r="140" spans="1:6" ht="20" customHeight="1">
      <c r="A140" s="20"/>
      <c r="B140" s="21"/>
      <c r="C140" s="20" t="str">
        <f>IF(ISNUMBER(MATCH($A140, 대여현황!$A:$A, 0)), INDEX(대여현황!C:C, MATCH($A140, 대여현황!$A:$A, 0)), "")</f>
        <v/>
      </c>
      <c r="D140" s="20" t="str">
        <f>IF(ISNUMBER(MATCH($A140, 대여현황!$A:$A, 0)), INDEX(대여현황!D:D, MATCH($A140, 대여현황!$A:$A, 0)), "")</f>
        <v/>
      </c>
      <c r="E140" s="22" t="str">
        <f>IF(ISNUMBER(MATCH($A140, 대여현황!$A:$A, 0)), INDEX(대여현황!E:E, MATCH($A140, 대여현황!$A:$A, 0)), "")</f>
        <v/>
      </c>
      <c r="F140" s="22" t="str">
        <f>IF(ISNUMBER(MATCH($A140, 대여현황!$A:$A, 0)), INDEX(대여현황!F:F, MATCH($A140, 대여현황!$A:$A, 0)), "-")</f>
        <v>-</v>
      </c>
    </row>
    <row r="141" spans="1:6" ht="20" customHeight="1">
      <c r="A141" s="20"/>
      <c r="B141" s="21"/>
      <c r="C141" s="20" t="str">
        <f>IF(ISNUMBER(MATCH($A141, 대여현황!$A:$A, 0)), INDEX(대여현황!C:C, MATCH($A141, 대여현황!$A:$A, 0)), "")</f>
        <v/>
      </c>
      <c r="D141" s="20" t="str">
        <f>IF(ISNUMBER(MATCH($A141, 대여현황!$A:$A, 0)), INDEX(대여현황!D:D, MATCH($A141, 대여현황!$A:$A, 0)), "")</f>
        <v/>
      </c>
      <c r="E141" s="22" t="str">
        <f>IF(ISNUMBER(MATCH($A141, 대여현황!$A:$A, 0)), INDEX(대여현황!E:E, MATCH($A141, 대여현황!$A:$A, 0)), "")</f>
        <v/>
      </c>
      <c r="F141" s="22" t="str">
        <f>IF(ISNUMBER(MATCH($A141, 대여현황!$A:$A, 0)), INDEX(대여현황!F:F, MATCH($A141, 대여현황!$A:$A, 0)), "-")</f>
        <v>-</v>
      </c>
    </row>
    <row r="142" spans="1:6" ht="20" customHeight="1">
      <c r="A142" s="20"/>
      <c r="B142" s="21"/>
      <c r="C142" s="20" t="str">
        <f>IF(ISNUMBER(MATCH($A142, 대여현황!$A:$A, 0)), INDEX(대여현황!C:C, MATCH($A142, 대여현황!$A:$A, 0)), "")</f>
        <v/>
      </c>
      <c r="D142" s="20" t="str">
        <f>IF(ISNUMBER(MATCH($A142, 대여현황!$A:$A, 0)), INDEX(대여현황!D:D, MATCH($A142, 대여현황!$A:$A, 0)), "")</f>
        <v/>
      </c>
      <c r="E142" s="22" t="str">
        <f>IF(ISNUMBER(MATCH($A142, 대여현황!$A:$A, 0)), INDEX(대여현황!E:E, MATCH($A142, 대여현황!$A:$A, 0)), "")</f>
        <v/>
      </c>
      <c r="F142" s="22" t="str">
        <f>IF(ISNUMBER(MATCH($A142, 대여현황!$A:$A, 0)), INDEX(대여현황!F:F, MATCH($A142, 대여현황!$A:$A, 0)), "-")</f>
        <v>-</v>
      </c>
    </row>
    <row r="143" spans="1:6" ht="20" customHeight="1">
      <c r="A143" s="20"/>
      <c r="B143" s="21"/>
      <c r="C143" s="20" t="str">
        <f>IF(ISNUMBER(MATCH($A143, 대여현황!$A:$A, 0)), INDEX(대여현황!C:C, MATCH($A143, 대여현황!$A:$A, 0)), "")</f>
        <v/>
      </c>
      <c r="D143" s="20" t="str">
        <f>IF(ISNUMBER(MATCH($A143, 대여현황!$A:$A, 0)), INDEX(대여현황!D:D, MATCH($A143, 대여현황!$A:$A, 0)), "")</f>
        <v/>
      </c>
      <c r="E143" s="22" t="str">
        <f>IF(ISNUMBER(MATCH($A143, 대여현황!$A:$A, 0)), INDEX(대여현황!E:E, MATCH($A143, 대여현황!$A:$A, 0)), "")</f>
        <v/>
      </c>
      <c r="F143" s="22" t="str">
        <f>IF(ISNUMBER(MATCH($A143, 대여현황!$A:$A, 0)), INDEX(대여현황!F:F, MATCH($A143, 대여현황!$A:$A, 0)), "-")</f>
        <v>-</v>
      </c>
    </row>
    <row r="144" spans="1:6" ht="20" customHeight="1">
      <c r="A144" s="20"/>
      <c r="B144" s="21"/>
      <c r="C144" s="20" t="str">
        <f>IF(ISNUMBER(MATCH($A144, 대여현황!$A:$A, 0)), INDEX(대여현황!C:C, MATCH($A144, 대여현황!$A:$A, 0)), "")</f>
        <v/>
      </c>
      <c r="D144" s="20" t="str">
        <f>IF(ISNUMBER(MATCH($A144, 대여현황!$A:$A, 0)), INDEX(대여현황!D:D, MATCH($A144, 대여현황!$A:$A, 0)), "")</f>
        <v/>
      </c>
      <c r="E144" s="22" t="str">
        <f>IF(ISNUMBER(MATCH($A144, 대여현황!$A:$A, 0)), INDEX(대여현황!E:E, MATCH($A144, 대여현황!$A:$A, 0)), "")</f>
        <v/>
      </c>
      <c r="F144" s="22" t="str">
        <f>IF(ISNUMBER(MATCH($A144, 대여현황!$A:$A, 0)), INDEX(대여현황!F:F, MATCH($A144, 대여현황!$A:$A, 0)), "-")</f>
        <v>-</v>
      </c>
    </row>
    <row r="145" spans="1:6" ht="20" customHeight="1">
      <c r="A145" s="20"/>
      <c r="B145" s="21"/>
      <c r="C145" s="20" t="str">
        <f>IF(ISNUMBER(MATCH($A145, 대여현황!$A:$A, 0)), INDEX(대여현황!C:C, MATCH($A145, 대여현황!$A:$A, 0)), "")</f>
        <v/>
      </c>
      <c r="D145" s="20" t="str">
        <f>IF(ISNUMBER(MATCH($A145, 대여현황!$A:$A, 0)), INDEX(대여현황!D:D, MATCH($A145, 대여현황!$A:$A, 0)), "")</f>
        <v/>
      </c>
      <c r="E145" s="22" t="str">
        <f>IF(ISNUMBER(MATCH($A145, 대여현황!$A:$A, 0)), INDEX(대여현황!E:E, MATCH($A145, 대여현황!$A:$A, 0)), "")</f>
        <v/>
      </c>
      <c r="F145" s="22" t="str">
        <f>IF(ISNUMBER(MATCH($A145, 대여현황!$A:$A, 0)), INDEX(대여현황!F:F, MATCH($A145, 대여현황!$A:$A, 0)), "-")</f>
        <v>-</v>
      </c>
    </row>
    <row r="146" spans="1:6" ht="20" customHeight="1">
      <c r="A146" s="20"/>
      <c r="B146" s="21"/>
      <c r="C146" s="20" t="str">
        <f>IF(ISNUMBER(MATCH($A146, 대여현황!$A:$A, 0)), INDEX(대여현황!C:C, MATCH($A146, 대여현황!$A:$A, 0)), "")</f>
        <v/>
      </c>
      <c r="D146" s="20" t="str">
        <f>IF(ISNUMBER(MATCH($A146, 대여현황!$A:$A, 0)), INDEX(대여현황!D:D, MATCH($A146, 대여현황!$A:$A, 0)), "")</f>
        <v/>
      </c>
      <c r="E146" s="22" t="str">
        <f>IF(ISNUMBER(MATCH($A146, 대여현황!$A:$A, 0)), INDEX(대여현황!E:E, MATCH($A146, 대여현황!$A:$A, 0)), "")</f>
        <v/>
      </c>
      <c r="F146" s="22" t="str">
        <f>IF(ISNUMBER(MATCH($A146, 대여현황!$A:$A, 0)), INDEX(대여현황!F:F, MATCH($A146, 대여현황!$A:$A, 0)), "-")</f>
        <v>-</v>
      </c>
    </row>
    <row r="147" spans="1:6" ht="20" customHeight="1">
      <c r="A147" s="20"/>
      <c r="B147" s="21"/>
      <c r="C147" s="20" t="str">
        <f>IF(ISNUMBER(MATCH($A147, 대여현황!$A:$A, 0)), INDEX(대여현황!C:C, MATCH($A147, 대여현황!$A:$A, 0)), "")</f>
        <v/>
      </c>
      <c r="D147" s="20" t="str">
        <f>IF(ISNUMBER(MATCH($A147, 대여현황!$A:$A, 0)), INDEX(대여현황!D:D, MATCH($A147, 대여현황!$A:$A, 0)), "")</f>
        <v/>
      </c>
      <c r="E147" s="22" t="str">
        <f>IF(ISNUMBER(MATCH($A147, 대여현황!$A:$A, 0)), INDEX(대여현황!E:E, MATCH($A147, 대여현황!$A:$A, 0)), "")</f>
        <v/>
      </c>
      <c r="F147" s="22" t="str">
        <f>IF(ISNUMBER(MATCH($A147, 대여현황!$A:$A, 0)), INDEX(대여현황!F:F, MATCH($A147, 대여현황!$A:$A, 0)), "-")</f>
        <v>-</v>
      </c>
    </row>
    <row r="148" spans="1:6" ht="20" customHeight="1">
      <c r="A148" s="20"/>
      <c r="B148" s="21"/>
      <c r="C148" s="20" t="str">
        <f>IF(ISNUMBER(MATCH($A148, 대여현황!$A:$A, 0)), INDEX(대여현황!C:C, MATCH($A148, 대여현황!$A:$A, 0)), "")</f>
        <v/>
      </c>
      <c r="D148" s="20" t="str">
        <f>IF(ISNUMBER(MATCH($A148, 대여현황!$A:$A, 0)), INDEX(대여현황!D:D, MATCH($A148, 대여현황!$A:$A, 0)), "")</f>
        <v/>
      </c>
      <c r="E148" s="22" t="str">
        <f>IF(ISNUMBER(MATCH($A148, 대여현황!$A:$A, 0)), INDEX(대여현황!E:E, MATCH($A148, 대여현황!$A:$A, 0)), "")</f>
        <v/>
      </c>
      <c r="F148" s="22" t="str">
        <f>IF(ISNUMBER(MATCH($A148, 대여현황!$A:$A, 0)), INDEX(대여현황!F:F, MATCH($A148, 대여현황!$A:$A, 0)), "-")</f>
        <v>-</v>
      </c>
    </row>
    <row r="149" spans="1:6" ht="20" customHeight="1">
      <c r="A149" s="20"/>
      <c r="B149" s="21"/>
      <c r="C149" s="20" t="str">
        <f>IF(ISNUMBER(MATCH($A149, 대여현황!$A:$A, 0)), INDEX(대여현황!C:C, MATCH($A149, 대여현황!$A:$A, 0)), "")</f>
        <v/>
      </c>
      <c r="D149" s="20" t="str">
        <f>IF(ISNUMBER(MATCH($A149, 대여현황!$A:$A, 0)), INDEX(대여현황!D:D, MATCH($A149, 대여현황!$A:$A, 0)), "")</f>
        <v/>
      </c>
      <c r="E149" s="22" t="str">
        <f>IF(ISNUMBER(MATCH($A149, 대여현황!$A:$A, 0)), INDEX(대여현황!E:E, MATCH($A149, 대여현황!$A:$A, 0)), "")</f>
        <v/>
      </c>
      <c r="F149" s="22" t="str">
        <f>IF(ISNUMBER(MATCH($A149, 대여현황!$A:$A, 0)), INDEX(대여현황!F:F, MATCH($A149, 대여현황!$A:$A, 0)), "-")</f>
        <v>-</v>
      </c>
    </row>
    <row r="150" spans="1:6" ht="20" customHeight="1">
      <c r="A150" s="20"/>
      <c r="B150" s="21"/>
      <c r="C150" s="20" t="str">
        <f>IF(ISNUMBER(MATCH($A150, 대여현황!$A:$A, 0)), INDEX(대여현황!C:C, MATCH($A150, 대여현황!$A:$A, 0)), "")</f>
        <v/>
      </c>
      <c r="D150" s="20" t="str">
        <f>IF(ISNUMBER(MATCH($A150, 대여현황!$A:$A, 0)), INDEX(대여현황!D:D, MATCH($A150, 대여현황!$A:$A, 0)), "")</f>
        <v/>
      </c>
      <c r="E150" s="22" t="str">
        <f>IF(ISNUMBER(MATCH($A150, 대여현황!$A:$A, 0)), INDEX(대여현황!E:E, MATCH($A150, 대여현황!$A:$A, 0)), "")</f>
        <v/>
      </c>
      <c r="F150" s="22" t="str">
        <f>IF(ISNUMBER(MATCH($A150, 대여현황!$A:$A, 0)), INDEX(대여현황!F:F, MATCH($A150, 대여현황!$A:$A, 0)), "-")</f>
        <v>-</v>
      </c>
    </row>
    <row r="151" spans="1:6" ht="20" customHeight="1">
      <c r="A151" s="20"/>
      <c r="B151" s="21"/>
      <c r="C151" s="20" t="str">
        <f>IF(ISNUMBER(MATCH($A151, 대여현황!$A:$A, 0)), INDEX(대여현황!C:C, MATCH($A151, 대여현황!$A:$A, 0)), "")</f>
        <v/>
      </c>
      <c r="D151" s="20" t="str">
        <f>IF(ISNUMBER(MATCH($A151, 대여현황!$A:$A, 0)), INDEX(대여현황!D:D, MATCH($A151, 대여현황!$A:$A, 0)), "")</f>
        <v/>
      </c>
      <c r="E151" s="22" t="str">
        <f>IF(ISNUMBER(MATCH($A151, 대여현황!$A:$A, 0)), INDEX(대여현황!E:E, MATCH($A151, 대여현황!$A:$A, 0)), "")</f>
        <v/>
      </c>
      <c r="F151" s="22" t="str">
        <f>IF(ISNUMBER(MATCH($A151, 대여현황!$A:$A, 0)), INDEX(대여현황!F:F, MATCH($A151, 대여현황!$A:$A, 0)), "-")</f>
        <v>-</v>
      </c>
    </row>
    <row r="152" spans="1:6" ht="20" customHeight="1">
      <c r="A152" s="20"/>
      <c r="B152" s="21"/>
      <c r="C152" s="20" t="str">
        <f>IF(ISNUMBER(MATCH($A152, 대여현황!$A:$A, 0)), INDEX(대여현황!C:C, MATCH($A152, 대여현황!$A:$A, 0)), "")</f>
        <v/>
      </c>
      <c r="D152" s="20" t="str">
        <f>IF(ISNUMBER(MATCH($A152, 대여현황!$A:$A, 0)), INDEX(대여현황!D:D, MATCH($A152, 대여현황!$A:$A, 0)), "")</f>
        <v/>
      </c>
      <c r="E152" s="22" t="str">
        <f>IF(ISNUMBER(MATCH($A152, 대여현황!$A:$A, 0)), INDEX(대여현황!E:E, MATCH($A152, 대여현황!$A:$A, 0)), "")</f>
        <v/>
      </c>
      <c r="F152" s="22" t="str">
        <f>IF(ISNUMBER(MATCH($A152, 대여현황!$A:$A, 0)), INDEX(대여현황!F:F, MATCH($A152, 대여현황!$A:$A, 0)), "-")</f>
        <v>-</v>
      </c>
    </row>
    <row r="153" spans="1:6" ht="20" customHeight="1">
      <c r="A153" s="20"/>
      <c r="B153" s="21"/>
      <c r="C153" s="20" t="str">
        <f>IF(ISNUMBER(MATCH($A153, 대여현황!$A:$A, 0)), INDEX(대여현황!C:C, MATCH($A153, 대여현황!$A:$A, 0)), "")</f>
        <v/>
      </c>
      <c r="D153" s="20" t="str">
        <f>IF(ISNUMBER(MATCH($A153, 대여현황!$A:$A, 0)), INDEX(대여현황!D:D, MATCH($A153, 대여현황!$A:$A, 0)), "")</f>
        <v/>
      </c>
      <c r="E153" s="22" t="str">
        <f>IF(ISNUMBER(MATCH($A153, 대여현황!$A:$A, 0)), INDEX(대여현황!E:E, MATCH($A153, 대여현황!$A:$A, 0)), "")</f>
        <v/>
      </c>
      <c r="F153" s="22" t="str">
        <f>IF(ISNUMBER(MATCH($A153, 대여현황!$A:$A, 0)), INDEX(대여현황!F:F, MATCH($A153, 대여현황!$A:$A, 0)), "-")</f>
        <v>-</v>
      </c>
    </row>
    <row r="154" spans="1:6" ht="20" customHeight="1">
      <c r="A154" s="20"/>
      <c r="B154" s="21"/>
      <c r="C154" s="20" t="str">
        <f>IF(ISNUMBER(MATCH($A154, 대여현황!$A:$A, 0)), INDEX(대여현황!C:C, MATCH($A154, 대여현황!$A:$A, 0)), "")</f>
        <v/>
      </c>
      <c r="D154" s="20" t="str">
        <f>IF(ISNUMBER(MATCH($A154, 대여현황!$A:$A, 0)), INDEX(대여현황!D:D, MATCH($A154, 대여현황!$A:$A, 0)), "")</f>
        <v/>
      </c>
      <c r="E154" s="22" t="str">
        <f>IF(ISNUMBER(MATCH($A154, 대여현황!$A:$A, 0)), INDEX(대여현황!E:E, MATCH($A154, 대여현황!$A:$A, 0)), "")</f>
        <v/>
      </c>
      <c r="F154" s="22" t="str">
        <f>IF(ISNUMBER(MATCH($A154, 대여현황!$A:$A, 0)), INDEX(대여현황!F:F, MATCH($A154, 대여현황!$A:$A, 0)), "-")</f>
        <v>-</v>
      </c>
    </row>
    <row r="155" spans="1:6" ht="20" customHeight="1">
      <c r="A155" s="20"/>
      <c r="B155" s="21"/>
      <c r="C155" s="20" t="str">
        <f>IF(ISNUMBER(MATCH($A155, 대여현황!$A:$A, 0)), INDEX(대여현황!C:C, MATCH($A155, 대여현황!$A:$A, 0)), "")</f>
        <v/>
      </c>
      <c r="D155" s="20" t="str">
        <f>IF(ISNUMBER(MATCH($A155, 대여현황!$A:$A, 0)), INDEX(대여현황!D:D, MATCH($A155, 대여현황!$A:$A, 0)), "")</f>
        <v/>
      </c>
      <c r="E155" s="22" t="str">
        <f>IF(ISNUMBER(MATCH($A155, 대여현황!$A:$A, 0)), INDEX(대여현황!E:E, MATCH($A155, 대여현황!$A:$A, 0)), "")</f>
        <v/>
      </c>
      <c r="F155" s="22" t="str">
        <f>IF(ISNUMBER(MATCH($A155, 대여현황!$A:$A, 0)), INDEX(대여현황!F:F, MATCH($A155, 대여현황!$A:$A, 0)), "-")</f>
        <v>-</v>
      </c>
    </row>
    <row r="156" spans="1:6" ht="20" customHeight="1">
      <c r="A156" s="20"/>
      <c r="B156" s="21"/>
      <c r="C156" s="20" t="str">
        <f>IF(ISNUMBER(MATCH($A156, 대여현황!$A:$A, 0)), INDEX(대여현황!C:C, MATCH($A156, 대여현황!$A:$A, 0)), "")</f>
        <v/>
      </c>
      <c r="D156" s="20" t="str">
        <f>IF(ISNUMBER(MATCH($A156, 대여현황!$A:$A, 0)), INDEX(대여현황!D:D, MATCH($A156, 대여현황!$A:$A, 0)), "")</f>
        <v/>
      </c>
      <c r="E156" s="22" t="str">
        <f>IF(ISNUMBER(MATCH($A156, 대여현황!$A:$A, 0)), INDEX(대여현황!E:E, MATCH($A156, 대여현황!$A:$A, 0)), "")</f>
        <v/>
      </c>
      <c r="F156" s="22" t="str">
        <f>IF(ISNUMBER(MATCH($A156, 대여현황!$A:$A, 0)), INDEX(대여현황!F:F, MATCH($A156, 대여현황!$A:$A, 0)), "-")</f>
        <v>-</v>
      </c>
    </row>
    <row r="157" spans="1:6" ht="20" customHeight="1">
      <c r="A157" s="20"/>
      <c r="B157" s="21"/>
      <c r="C157" s="20" t="str">
        <f>IF(ISNUMBER(MATCH($A157, 대여현황!$A:$A, 0)), INDEX(대여현황!C:C, MATCH($A157, 대여현황!$A:$A, 0)), "")</f>
        <v/>
      </c>
      <c r="D157" s="20" t="str">
        <f>IF(ISNUMBER(MATCH($A157, 대여현황!$A:$A, 0)), INDEX(대여현황!D:D, MATCH($A157, 대여현황!$A:$A, 0)), "")</f>
        <v/>
      </c>
      <c r="E157" s="22" t="str">
        <f>IF(ISNUMBER(MATCH($A157, 대여현황!$A:$A, 0)), INDEX(대여현황!E:E, MATCH($A157, 대여현황!$A:$A, 0)), "")</f>
        <v/>
      </c>
      <c r="F157" s="22" t="str">
        <f>IF(ISNUMBER(MATCH($A157, 대여현황!$A:$A, 0)), INDEX(대여현황!F:F, MATCH($A157, 대여현황!$A:$A, 0)), "-")</f>
        <v>-</v>
      </c>
    </row>
    <row r="158" spans="1:6" ht="20" customHeight="1">
      <c r="A158" s="20"/>
      <c r="B158" s="21"/>
      <c r="C158" s="20" t="str">
        <f>IF(ISNUMBER(MATCH($A158, 대여현황!$A:$A, 0)), INDEX(대여현황!C:C, MATCH($A158, 대여현황!$A:$A, 0)), "")</f>
        <v/>
      </c>
      <c r="D158" s="20" t="str">
        <f>IF(ISNUMBER(MATCH($A158, 대여현황!$A:$A, 0)), INDEX(대여현황!D:D, MATCH($A158, 대여현황!$A:$A, 0)), "")</f>
        <v/>
      </c>
      <c r="E158" s="22" t="str">
        <f>IF(ISNUMBER(MATCH($A158, 대여현황!$A:$A, 0)), INDEX(대여현황!E:E, MATCH($A158, 대여현황!$A:$A, 0)), "")</f>
        <v/>
      </c>
      <c r="F158" s="22" t="str">
        <f>IF(ISNUMBER(MATCH($A158, 대여현황!$A:$A, 0)), INDEX(대여현황!F:F, MATCH($A158, 대여현황!$A:$A, 0)), "-")</f>
        <v>-</v>
      </c>
    </row>
    <row r="159" spans="1:6" ht="20" customHeight="1">
      <c r="A159" s="20"/>
      <c r="B159" s="21"/>
      <c r="C159" s="20" t="str">
        <f>IF(ISNUMBER(MATCH($A159, 대여현황!$A:$A, 0)), INDEX(대여현황!C:C, MATCH($A159, 대여현황!$A:$A, 0)), "")</f>
        <v/>
      </c>
      <c r="D159" s="20" t="str">
        <f>IF(ISNUMBER(MATCH($A159, 대여현황!$A:$A, 0)), INDEX(대여현황!D:D, MATCH($A159, 대여현황!$A:$A, 0)), "")</f>
        <v/>
      </c>
      <c r="E159" s="22" t="str">
        <f>IF(ISNUMBER(MATCH($A159, 대여현황!$A:$A, 0)), INDEX(대여현황!E:E, MATCH($A159, 대여현황!$A:$A, 0)), "")</f>
        <v/>
      </c>
      <c r="F159" s="22" t="str">
        <f>IF(ISNUMBER(MATCH($A159, 대여현황!$A:$A, 0)), INDEX(대여현황!F:F, MATCH($A159, 대여현황!$A:$A, 0)), "-")</f>
        <v>-</v>
      </c>
    </row>
    <row r="160" spans="1:6" ht="20" customHeight="1">
      <c r="A160" s="20"/>
      <c r="B160" s="21"/>
      <c r="C160" s="20" t="str">
        <f>IF(ISNUMBER(MATCH($A160, 대여현황!$A:$A, 0)), INDEX(대여현황!C:C, MATCH($A160, 대여현황!$A:$A, 0)), "")</f>
        <v/>
      </c>
      <c r="D160" s="20" t="str">
        <f>IF(ISNUMBER(MATCH($A160, 대여현황!$A:$A, 0)), INDEX(대여현황!D:D, MATCH($A160, 대여현황!$A:$A, 0)), "")</f>
        <v/>
      </c>
      <c r="E160" s="22" t="str">
        <f>IF(ISNUMBER(MATCH($A160, 대여현황!$A:$A, 0)), INDEX(대여현황!E:E, MATCH($A160, 대여현황!$A:$A, 0)), "")</f>
        <v/>
      </c>
      <c r="F160" s="22" t="str">
        <f>IF(ISNUMBER(MATCH($A160, 대여현황!$A:$A, 0)), INDEX(대여현황!F:F, MATCH($A160, 대여현황!$A:$A, 0)), "-")</f>
        <v>-</v>
      </c>
    </row>
    <row r="161" spans="1:6" ht="20" customHeight="1">
      <c r="A161" s="20"/>
      <c r="B161" s="21"/>
      <c r="C161" s="20" t="str">
        <f>IF(ISNUMBER(MATCH($A161, 대여현황!$A:$A, 0)), INDEX(대여현황!C:C, MATCH($A161, 대여현황!$A:$A, 0)), "")</f>
        <v/>
      </c>
      <c r="D161" s="20" t="str">
        <f>IF(ISNUMBER(MATCH($A161, 대여현황!$A:$A, 0)), INDEX(대여현황!D:D, MATCH($A161, 대여현황!$A:$A, 0)), "")</f>
        <v/>
      </c>
      <c r="E161" s="22" t="str">
        <f>IF(ISNUMBER(MATCH($A161, 대여현황!$A:$A, 0)), INDEX(대여현황!E:E, MATCH($A161, 대여현황!$A:$A, 0)), "")</f>
        <v/>
      </c>
      <c r="F161" s="22" t="str">
        <f>IF(ISNUMBER(MATCH($A161, 대여현황!$A:$A, 0)), INDEX(대여현황!F:F, MATCH($A161, 대여현황!$A:$A, 0)), "-")</f>
        <v>-</v>
      </c>
    </row>
    <row r="162" spans="1:6" ht="20" customHeight="1">
      <c r="A162" s="20"/>
      <c r="B162" s="21"/>
      <c r="C162" s="20" t="str">
        <f>IF(ISNUMBER(MATCH($A162, 대여현황!$A:$A, 0)), INDEX(대여현황!C:C, MATCH($A162, 대여현황!$A:$A, 0)), "")</f>
        <v/>
      </c>
      <c r="D162" s="20" t="str">
        <f>IF(ISNUMBER(MATCH($A162, 대여현황!$A:$A, 0)), INDEX(대여현황!D:D, MATCH($A162, 대여현황!$A:$A, 0)), "")</f>
        <v/>
      </c>
      <c r="E162" s="22" t="str">
        <f>IF(ISNUMBER(MATCH($A162, 대여현황!$A:$A, 0)), INDEX(대여현황!E:E, MATCH($A162, 대여현황!$A:$A, 0)), "")</f>
        <v/>
      </c>
      <c r="F162" s="22" t="str">
        <f>IF(ISNUMBER(MATCH($A162, 대여현황!$A:$A, 0)), INDEX(대여현황!F:F, MATCH($A162, 대여현황!$A:$A, 0)), "-")</f>
        <v>-</v>
      </c>
    </row>
    <row r="163" spans="1:6" ht="20" customHeight="1">
      <c r="A163" s="20"/>
      <c r="B163" s="21"/>
      <c r="C163" s="20" t="str">
        <f>IF(ISNUMBER(MATCH($A163, 대여현황!$A:$A, 0)), INDEX(대여현황!C:C, MATCH($A163, 대여현황!$A:$A, 0)), "")</f>
        <v/>
      </c>
      <c r="D163" s="20" t="str">
        <f>IF(ISNUMBER(MATCH($A163, 대여현황!$A:$A, 0)), INDEX(대여현황!D:D, MATCH($A163, 대여현황!$A:$A, 0)), "")</f>
        <v/>
      </c>
      <c r="E163" s="22" t="str">
        <f>IF(ISNUMBER(MATCH($A163, 대여현황!$A:$A, 0)), INDEX(대여현황!E:E, MATCH($A163, 대여현황!$A:$A, 0)), "")</f>
        <v/>
      </c>
      <c r="F163" s="22" t="str">
        <f>IF(ISNUMBER(MATCH($A163, 대여현황!$A:$A, 0)), INDEX(대여현황!F:F, MATCH($A163, 대여현황!$A:$A, 0)), "-")</f>
        <v>-</v>
      </c>
    </row>
    <row r="164" spans="1:6" ht="20" customHeight="1">
      <c r="A164" s="20"/>
      <c r="B164" s="21"/>
      <c r="C164" s="20" t="str">
        <f>IF(ISNUMBER(MATCH($A164, 대여현황!$A:$A, 0)), INDEX(대여현황!C:C, MATCH($A164, 대여현황!$A:$A, 0)), "")</f>
        <v/>
      </c>
      <c r="D164" s="20" t="str">
        <f>IF(ISNUMBER(MATCH($A164, 대여현황!$A:$A, 0)), INDEX(대여현황!D:D, MATCH($A164, 대여현황!$A:$A, 0)), "")</f>
        <v/>
      </c>
      <c r="E164" s="22" t="str">
        <f>IF(ISNUMBER(MATCH($A164, 대여현황!$A:$A, 0)), INDEX(대여현황!E:E, MATCH($A164, 대여현황!$A:$A, 0)), "")</f>
        <v/>
      </c>
      <c r="F164" s="22" t="str">
        <f>IF(ISNUMBER(MATCH($A164, 대여현황!$A:$A, 0)), INDEX(대여현황!F:F, MATCH($A164, 대여현황!$A:$A, 0)), "-")</f>
        <v>-</v>
      </c>
    </row>
    <row r="165" spans="1:6" ht="20" customHeight="1">
      <c r="A165" s="20"/>
      <c r="B165" s="21"/>
      <c r="C165" s="20" t="str">
        <f>IF(ISNUMBER(MATCH($A165, 대여현황!$A:$A, 0)), INDEX(대여현황!C:C, MATCH($A165, 대여현황!$A:$A, 0)), "")</f>
        <v/>
      </c>
      <c r="D165" s="20" t="str">
        <f>IF(ISNUMBER(MATCH($A165, 대여현황!$A:$A, 0)), INDEX(대여현황!D:D, MATCH($A165, 대여현황!$A:$A, 0)), "")</f>
        <v/>
      </c>
      <c r="E165" s="22" t="str">
        <f>IF(ISNUMBER(MATCH($A165, 대여현황!$A:$A, 0)), INDEX(대여현황!E:E, MATCH($A165, 대여현황!$A:$A, 0)), "")</f>
        <v/>
      </c>
      <c r="F165" s="22" t="str">
        <f>IF(ISNUMBER(MATCH($A165, 대여현황!$A:$A, 0)), INDEX(대여현황!F:F, MATCH($A165, 대여현황!$A:$A, 0)), "-")</f>
        <v>-</v>
      </c>
    </row>
    <row r="166" spans="1:6" ht="20" customHeight="1">
      <c r="A166" s="20"/>
      <c r="B166" s="21"/>
      <c r="C166" s="20" t="str">
        <f>IF(ISNUMBER(MATCH($A166, 대여현황!$A:$A, 0)), INDEX(대여현황!C:C, MATCH($A166, 대여현황!$A:$A, 0)), "")</f>
        <v/>
      </c>
      <c r="D166" s="20" t="str">
        <f>IF(ISNUMBER(MATCH($A166, 대여현황!$A:$A, 0)), INDEX(대여현황!D:D, MATCH($A166, 대여현황!$A:$A, 0)), "")</f>
        <v/>
      </c>
      <c r="E166" s="22" t="str">
        <f>IF(ISNUMBER(MATCH($A166, 대여현황!$A:$A, 0)), INDEX(대여현황!E:E, MATCH($A166, 대여현황!$A:$A, 0)), "")</f>
        <v/>
      </c>
      <c r="F166" s="22" t="str">
        <f>IF(ISNUMBER(MATCH($A166, 대여현황!$A:$A, 0)), INDEX(대여현황!F:F, MATCH($A166, 대여현황!$A:$A, 0)), "-")</f>
        <v>-</v>
      </c>
    </row>
    <row r="167" spans="1:6" ht="20" customHeight="1">
      <c r="A167" s="20"/>
      <c r="B167" s="21"/>
      <c r="C167" s="20" t="str">
        <f>IF(ISNUMBER(MATCH($A167, 대여현황!$A:$A, 0)), INDEX(대여현황!C:C, MATCH($A167, 대여현황!$A:$A, 0)), "")</f>
        <v/>
      </c>
      <c r="D167" s="20" t="str">
        <f>IF(ISNUMBER(MATCH($A167, 대여현황!$A:$A, 0)), INDEX(대여현황!D:D, MATCH($A167, 대여현황!$A:$A, 0)), "")</f>
        <v/>
      </c>
      <c r="E167" s="22" t="str">
        <f>IF(ISNUMBER(MATCH($A167, 대여현황!$A:$A, 0)), INDEX(대여현황!E:E, MATCH($A167, 대여현황!$A:$A, 0)), "")</f>
        <v/>
      </c>
      <c r="F167" s="22" t="str">
        <f>IF(ISNUMBER(MATCH($A167, 대여현황!$A:$A, 0)), INDEX(대여현황!F:F, MATCH($A167, 대여현황!$A:$A, 0)), "-")</f>
        <v>-</v>
      </c>
    </row>
    <row r="168" spans="1:6" ht="20" customHeight="1">
      <c r="A168" s="20"/>
      <c r="B168" s="21"/>
      <c r="C168" s="20" t="str">
        <f>IF(ISNUMBER(MATCH($A168, 대여현황!$A:$A, 0)), INDEX(대여현황!C:C, MATCH($A168, 대여현황!$A:$A, 0)), "")</f>
        <v/>
      </c>
      <c r="D168" s="20" t="str">
        <f>IF(ISNUMBER(MATCH($A168, 대여현황!$A:$A, 0)), INDEX(대여현황!D:D, MATCH($A168, 대여현황!$A:$A, 0)), "")</f>
        <v/>
      </c>
      <c r="E168" s="22" t="str">
        <f>IF(ISNUMBER(MATCH($A168, 대여현황!$A:$A, 0)), INDEX(대여현황!E:E, MATCH($A168, 대여현황!$A:$A, 0)), "")</f>
        <v/>
      </c>
      <c r="F168" s="22" t="str">
        <f>IF(ISNUMBER(MATCH($A168, 대여현황!$A:$A, 0)), INDEX(대여현황!F:F, MATCH($A168, 대여현황!$A:$A, 0)), "-")</f>
        <v>-</v>
      </c>
    </row>
    <row r="169" spans="1:6" ht="20" customHeight="1">
      <c r="A169" s="20"/>
      <c r="B169" s="21"/>
      <c r="C169" s="20" t="str">
        <f>IF(ISNUMBER(MATCH($A169, 대여현황!$A:$A, 0)), INDEX(대여현황!C:C, MATCH($A169, 대여현황!$A:$A, 0)), "")</f>
        <v/>
      </c>
      <c r="D169" s="20" t="str">
        <f>IF(ISNUMBER(MATCH($A169, 대여현황!$A:$A, 0)), INDEX(대여현황!D:D, MATCH($A169, 대여현황!$A:$A, 0)), "")</f>
        <v/>
      </c>
      <c r="E169" s="22" t="str">
        <f>IF(ISNUMBER(MATCH($A169, 대여현황!$A:$A, 0)), INDEX(대여현황!E:E, MATCH($A169, 대여현황!$A:$A, 0)), "")</f>
        <v/>
      </c>
      <c r="F169" s="22" t="str">
        <f>IF(ISNUMBER(MATCH($A169, 대여현황!$A:$A, 0)), INDEX(대여현황!F:F, MATCH($A169, 대여현황!$A:$A, 0)), "-")</f>
        <v>-</v>
      </c>
    </row>
    <row r="170" spans="1:6" ht="20" customHeight="1">
      <c r="A170" s="20"/>
      <c r="B170" s="21"/>
      <c r="C170" s="20" t="str">
        <f>IF(ISNUMBER(MATCH($A170, 대여현황!$A:$A, 0)), INDEX(대여현황!C:C, MATCH($A170, 대여현황!$A:$A, 0)), "")</f>
        <v/>
      </c>
      <c r="D170" s="20" t="str">
        <f>IF(ISNUMBER(MATCH($A170, 대여현황!$A:$A, 0)), INDEX(대여현황!D:D, MATCH($A170, 대여현황!$A:$A, 0)), "")</f>
        <v/>
      </c>
      <c r="E170" s="22" t="str">
        <f>IF(ISNUMBER(MATCH($A170, 대여현황!$A:$A, 0)), INDEX(대여현황!E:E, MATCH($A170, 대여현황!$A:$A, 0)), "")</f>
        <v/>
      </c>
      <c r="F170" s="22" t="str">
        <f>IF(ISNUMBER(MATCH($A170, 대여현황!$A:$A, 0)), INDEX(대여현황!F:F, MATCH($A170, 대여현황!$A:$A, 0)), "-")</f>
        <v>-</v>
      </c>
    </row>
    <row r="171" spans="1:6" ht="20" customHeight="1">
      <c r="A171" s="20"/>
      <c r="B171" s="21"/>
      <c r="C171" s="20" t="str">
        <f>IF(ISNUMBER(MATCH($A171, 대여현황!$A:$A, 0)), INDEX(대여현황!C:C, MATCH($A171, 대여현황!$A:$A, 0)), "")</f>
        <v/>
      </c>
      <c r="D171" s="20" t="str">
        <f>IF(ISNUMBER(MATCH($A171, 대여현황!$A:$A, 0)), INDEX(대여현황!D:D, MATCH($A171, 대여현황!$A:$A, 0)), "")</f>
        <v/>
      </c>
      <c r="E171" s="22" t="str">
        <f>IF(ISNUMBER(MATCH($A171, 대여현황!$A:$A, 0)), INDEX(대여현황!E:E, MATCH($A171, 대여현황!$A:$A, 0)), "")</f>
        <v/>
      </c>
      <c r="F171" s="22" t="str">
        <f>IF(ISNUMBER(MATCH($A171, 대여현황!$A:$A, 0)), INDEX(대여현황!F:F, MATCH($A171, 대여현황!$A:$A, 0)), "-")</f>
        <v>-</v>
      </c>
    </row>
    <row r="172" spans="1:6" ht="20" customHeight="1">
      <c r="A172" s="20"/>
      <c r="B172" s="21"/>
      <c r="C172" s="20" t="str">
        <f>IF(ISNUMBER(MATCH($A172, 대여현황!$A:$A, 0)), INDEX(대여현황!C:C, MATCH($A172, 대여현황!$A:$A, 0)), "")</f>
        <v/>
      </c>
      <c r="D172" s="20" t="str">
        <f>IF(ISNUMBER(MATCH($A172, 대여현황!$A:$A, 0)), INDEX(대여현황!D:D, MATCH($A172, 대여현황!$A:$A, 0)), "")</f>
        <v/>
      </c>
      <c r="E172" s="22" t="str">
        <f>IF(ISNUMBER(MATCH($A172, 대여현황!$A:$A, 0)), INDEX(대여현황!E:E, MATCH($A172, 대여현황!$A:$A, 0)), "")</f>
        <v/>
      </c>
      <c r="F172" s="22" t="str">
        <f>IF(ISNUMBER(MATCH($A172, 대여현황!$A:$A, 0)), INDEX(대여현황!F:F, MATCH($A172, 대여현황!$A:$A, 0)), "-")</f>
        <v>-</v>
      </c>
    </row>
    <row r="173" spans="1:6" ht="20" customHeight="1">
      <c r="A173" s="20"/>
      <c r="B173" s="21"/>
      <c r="C173" s="20" t="str">
        <f>IF(ISNUMBER(MATCH($A173, 대여현황!$A:$A, 0)), INDEX(대여현황!C:C, MATCH($A173, 대여현황!$A:$A, 0)), "")</f>
        <v/>
      </c>
      <c r="D173" s="20" t="str">
        <f>IF(ISNUMBER(MATCH($A173, 대여현황!$A:$A, 0)), INDEX(대여현황!D:D, MATCH($A173, 대여현황!$A:$A, 0)), "")</f>
        <v/>
      </c>
      <c r="E173" s="22" t="str">
        <f>IF(ISNUMBER(MATCH($A173, 대여현황!$A:$A, 0)), INDEX(대여현황!E:E, MATCH($A173, 대여현황!$A:$A, 0)), "")</f>
        <v/>
      </c>
      <c r="F173" s="22" t="str">
        <f>IF(ISNUMBER(MATCH($A173, 대여현황!$A:$A, 0)), INDEX(대여현황!F:F, MATCH($A173, 대여현황!$A:$A, 0)), "-")</f>
        <v>-</v>
      </c>
    </row>
    <row r="174" spans="1:6" ht="20" customHeight="1">
      <c r="A174" s="20"/>
      <c r="B174" s="21"/>
      <c r="C174" s="20" t="str">
        <f>IF(ISNUMBER(MATCH($A174, 대여현황!$A:$A, 0)), INDEX(대여현황!C:C, MATCH($A174, 대여현황!$A:$A, 0)), "")</f>
        <v/>
      </c>
      <c r="D174" s="20" t="str">
        <f>IF(ISNUMBER(MATCH($A174, 대여현황!$A:$A, 0)), INDEX(대여현황!D:D, MATCH($A174, 대여현황!$A:$A, 0)), "")</f>
        <v/>
      </c>
      <c r="E174" s="22" t="str">
        <f>IF(ISNUMBER(MATCH($A174, 대여현황!$A:$A, 0)), INDEX(대여현황!E:E, MATCH($A174, 대여현황!$A:$A, 0)), "")</f>
        <v/>
      </c>
      <c r="F174" s="22" t="str">
        <f>IF(ISNUMBER(MATCH($A174, 대여현황!$A:$A, 0)), INDEX(대여현황!F:F, MATCH($A174, 대여현황!$A:$A, 0)), "-")</f>
        <v>-</v>
      </c>
    </row>
    <row r="175" spans="1:6" ht="20" customHeight="1">
      <c r="A175" s="20"/>
      <c r="B175" s="21"/>
      <c r="C175" s="20" t="str">
        <f>IF(ISNUMBER(MATCH($A175, 대여현황!$A:$A, 0)), INDEX(대여현황!C:C, MATCH($A175, 대여현황!$A:$A, 0)), "")</f>
        <v/>
      </c>
      <c r="D175" s="20" t="str">
        <f>IF(ISNUMBER(MATCH($A175, 대여현황!$A:$A, 0)), INDEX(대여현황!D:D, MATCH($A175, 대여현황!$A:$A, 0)), "")</f>
        <v/>
      </c>
      <c r="E175" s="22" t="str">
        <f>IF(ISNUMBER(MATCH($A175, 대여현황!$A:$A, 0)), INDEX(대여현황!E:E, MATCH($A175, 대여현황!$A:$A, 0)), "")</f>
        <v/>
      </c>
      <c r="F175" s="22" t="str">
        <f>IF(ISNUMBER(MATCH($A175, 대여현황!$A:$A, 0)), INDEX(대여현황!F:F, MATCH($A175, 대여현황!$A:$A, 0)), "-")</f>
        <v>-</v>
      </c>
    </row>
    <row r="176" spans="1:6" ht="20" customHeight="1">
      <c r="A176" s="20"/>
      <c r="B176" s="21"/>
      <c r="C176" s="20" t="str">
        <f>IF(ISNUMBER(MATCH($A176, 대여현황!$A:$A, 0)), INDEX(대여현황!C:C, MATCH($A176, 대여현황!$A:$A, 0)), "")</f>
        <v/>
      </c>
      <c r="D176" s="20" t="str">
        <f>IF(ISNUMBER(MATCH($A176, 대여현황!$A:$A, 0)), INDEX(대여현황!D:D, MATCH($A176, 대여현황!$A:$A, 0)), "")</f>
        <v/>
      </c>
      <c r="E176" s="22" t="str">
        <f>IF(ISNUMBER(MATCH($A176, 대여현황!$A:$A, 0)), INDEX(대여현황!E:E, MATCH($A176, 대여현황!$A:$A, 0)), "")</f>
        <v/>
      </c>
      <c r="F176" s="22" t="str">
        <f>IF(ISNUMBER(MATCH($A176, 대여현황!$A:$A, 0)), INDEX(대여현황!F:F, MATCH($A176, 대여현황!$A:$A, 0)), "-")</f>
        <v>-</v>
      </c>
    </row>
    <row r="177" spans="1:6" ht="20" customHeight="1">
      <c r="A177" s="20"/>
      <c r="B177" s="21"/>
      <c r="C177" s="20" t="str">
        <f>IF(ISNUMBER(MATCH($A177, 대여현황!$A:$A, 0)), INDEX(대여현황!C:C, MATCH($A177, 대여현황!$A:$A, 0)), "")</f>
        <v/>
      </c>
      <c r="D177" s="20" t="str">
        <f>IF(ISNUMBER(MATCH($A177, 대여현황!$A:$A, 0)), INDEX(대여현황!D:D, MATCH($A177, 대여현황!$A:$A, 0)), "")</f>
        <v/>
      </c>
      <c r="E177" s="22" t="str">
        <f>IF(ISNUMBER(MATCH($A177, 대여현황!$A:$A, 0)), INDEX(대여현황!E:E, MATCH($A177, 대여현황!$A:$A, 0)), "")</f>
        <v/>
      </c>
      <c r="F177" s="22" t="str">
        <f>IF(ISNUMBER(MATCH($A177, 대여현황!$A:$A, 0)), INDEX(대여현황!F:F, MATCH($A177, 대여현황!$A:$A, 0)), "-")</f>
        <v>-</v>
      </c>
    </row>
    <row r="178" spans="1:6" ht="20" customHeight="1">
      <c r="A178" s="20"/>
      <c r="B178" s="21"/>
      <c r="C178" s="20" t="str">
        <f>IF(ISNUMBER(MATCH($A178, 대여현황!$A:$A, 0)), INDEX(대여현황!C:C, MATCH($A178, 대여현황!$A:$A, 0)), "")</f>
        <v/>
      </c>
      <c r="D178" s="20" t="str">
        <f>IF(ISNUMBER(MATCH($A178, 대여현황!$A:$A, 0)), INDEX(대여현황!D:D, MATCH($A178, 대여현황!$A:$A, 0)), "")</f>
        <v/>
      </c>
      <c r="E178" s="22" t="str">
        <f>IF(ISNUMBER(MATCH($A178, 대여현황!$A:$A, 0)), INDEX(대여현황!E:E, MATCH($A178, 대여현황!$A:$A, 0)), "")</f>
        <v/>
      </c>
      <c r="F178" s="22" t="str">
        <f>IF(ISNUMBER(MATCH($A178, 대여현황!$A:$A, 0)), INDEX(대여현황!F:F, MATCH($A178, 대여현황!$A:$A, 0)), "-")</f>
        <v>-</v>
      </c>
    </row>
    <row r="179" spans="1:6" ht="20" customHeight="1">
      <c r="A179" s="9"/>
      <c r="B179" s="3"/>
      <c r="C179" s="9" t="str">
        <f>IF(ISNUMBER(MATCH($A179, 대여현황!$A:$A, 0)), INDEX(대여현황!C:C, MATCH($A179, 대여현황!$A:$A, 0)), "")</f>
        <v/>
      </c>
      <c r="D179" s="9" t="str">
        <f>IF(ISNUMBER(MATCH($A179, 대여현황!$A:$A, 0)), INDEX(대여현황!D:D, MATCH($A179, 대여현황!$A:$A, 0)), "")</f>
        <v/>
      </c>
      <c r="E179" s="10" t="str">
        <f>IF(ISNUMBER(MATCH($A179, 대여현황!$A:$A, 0)), INDEX(대여현황!E:E, MATCH($A179, 대여현황!$A:$A, 0)), "")</f>
        <v/>
      </c>
      <c r="F179" s="22" t="str">
        <f>IF(ISNUMBER(MATCH($A179, 대여현황!$A:$A, 0)), INDEX(대여현황!F:F, MATCH($A179, 대여현황!$A:$A, 0)), "-")</f>
        <v>-</v>
      </c>
    </row>
    <row r="180" spans="1:6" ht="20" customHeight="1">
      <c r="A180" s="9"/>
      <c r="B180" s="3"/>
      <c r="C180" s="9" t="str">
        <f>IF(ISNUMBER(MATCH($A180, 대여현황!$A:$A, 0)), INDEX(대여현황!C:C, MATCH($A180, 대여현황!$A:$A, 0)), "")</f>
        <v/>
      </c>
      <c r="D180" s="9" t="str">
        <f>IF(ISNUMBER(MATCH($A180, 대여현황!$A:$A, 0)), INDEX(대여현황!D:D, MATCH($A180, 대여현황!$A:$A, 0)), "")</f>
        <v/>
      </c>
      <c r="E180" s="10" t="str">
        <f>IF(ISNUMBER(MATCH($A180, 대여현황!$A:$A, 0)), INDEX(대여현황!E:E, MATCH($A180, 대여현황!$A:$A, 0)), "")</f>
        <v/>
      </c>
      <c r="F180" s="22" t="str">
        <f>IF(ISNUMBER(MATCH($A180, 대여현황!$A:$A, 0)), INDEX(대여현황!F:F, MATCH($A180, 대여현황!$A:$A, 0)), "-")</f>
        <v>-</v>
      </c>
    </row>
    <row r="181" spans="1:6" ht="20" customHeight="1">
      <c r="A181" s="9"/>
      <c r="B181" s="3"/>
      <c r="C181" s="9" t="str">
        <f>IF(ISNUMBER(MATCH($A181, 대여현황!$A:$A, 0)), INDEX(대여현황!C:C, MATCH($A181, 대여현황!$A:$A, 0)), "")</f>
        <v/>
      </c>
      <c r="D181" s="9" t="str">
        <f>IF(ISNUMBER(MATCH($A181, 대여현황!$A:$A, 0)), INDEX(대여현황!D:D, MATCH($A181, 대여현황!$A:$A, 0)), "")</f>
        <v/>
      </c>
      <c r="E181" s="10" t="str">
        <f>IF(ISNUMBER(MATCH($A181, 대여현황!$A:$A, 0)), INDEX(대여현황!E:E, MATCH($A181, 대여현황!$A:$A, 0)), "")</f>
        <v/>
      </c>
      <c r="F181" s="22" t="str">
        <f>IF(ISNUMBER(MATCH($A181, 대여현황!$A:$A, 0)), INDEX(대여현황!F:F, MATCH($A181, 대여현황!$A:$A, 0)), "-")</f>
        <v>-</v>
      </c>
    </row>
    <row r="182" spans="1:6" ht="20" customHeight="1">
      <c r="A182" s="9"/>
      <c r="B182" s="3"/>
      <c r="C182" s="9" t="str">
        <f>IF(ISNUMBER(MATCH($A182, 대여현황!$A:$A, 0)), INDEX(대여현황!C:C, MATCH($A182, 대여현황!$A:$A, 0)), "")</f>
        <v/>
      </c>
      <c r="D182" s="9" t="str">
        <f>IF(ISNUMBER(MATCH($A182, 대여현황!$A:$A, 0)), INDEX(대여현황!D:D, MATCH($A182, 대여현황!$A:$A, 0)), "")</f>
        <v/>
      </c>
      <c r="E182" s="10" t="str">
        <f>IF(ISNUMBER(MATCH($A182, 대여현황!$A:$A, 0)), INDEX(대여현황!E:E, MATCH($A182, 대여현황!$A:$A, 0)), "")</f>
        <v/>
      </c>
      <c r="F182" s="22" t="str">
        <f>IF(ISNUMBER(MATCH($A182, 대여현황!$A:$A, 0)), INDEX(대여현황!F:F, MATCH($A182, 대여현황!$A:$A, 0)), "-")</f>
        <v>-</v>
      </c>
    </row>
    <row r="183" spans="1:6" ht="20" customHeight="1">
      <c r="A183" s="9"/>
      <c r="B183" s="3"/>
      <c r="C183" s="9" t="str">
        <f>IF(ISNUMBER(MATCH($A183, 대여현황!$A:$A, 0)), INDEX(대여현황!C:C, MATCH($A183, 대여현황!$A:$A, 0)), "")</f>
        <v/>
      </c>
      <c r="D183" s="9" t="str">
        <f>IF(ISNUMBER(MATCH($A183, 대여현황!$A:$A, 0)), INDEX(대여현황!D:D, MATCH($A183, 대여현황!$A:$A, 0)), "")</f>
        <v/>
      </c>
      <c r="E183" s="10" t="str">
        <f>IF(ISNUMBER(MATCH($A183, 대여현황!$A:$A, 0)), INDEX(대여현황!E:E, MATCH($A183, 대여현황!$A:$A, 0)), "")</f>
        <v/>
      </c>
      <c r="F183" s="22" t="str">
        <f>IF(ISNUMBER(MATCH($A183, 대여현황!$A:$A, 0)), INDEX(대여현황!F:F, MATCH($A183, 대여현황!$A:$A, 0)), "-")</f>
        <v>-</v>
      </c>
    </row>
    <row r="184" spans="1:6" ht="20" customHeight="1">
      <c r="A184" s="9"/>
      <c r="B184" s="3"/>
      <c r="C184" s="9" t="str">
        <f>IF(ISNUMBER(MATCH($A184, 대여현황!$A:$A, 0)), INDEX(대여현황!C:C, MATCH($A184, 대여현황!$A:$A, 0)), "")</f>
        <v/>
      </c>
      <c r="D184" s="9" t="str">
        <f>IF(ISNUMBER(MATCH($A184, 대여현황!$A:$A, 0)), INDEX(대여현황!D:D, MATCH($A184, 대여현황!$A:$A, 0)), "")</f>
        <v/>
      </c>
      <c r="E184" s="10" t="str">
        <f>IF(ISNUMBER(MATCH($A184, 대여현황!$A:$A, 0)), INDEX(대여현황!E:E, MATCH($A184, 대여현황!$A:$A, 0)), "")</f>
        <v/>
      </c>
      <c r="F184" s="22" t="str">
        <f>IF(ISNUMBER(MATCH($A184, 대여현황!$A:$A, 0)), INDEX(대여현황!F:F, MATCH($A184, 대여현황!$A:$A, 0)), "-")</f>
        <v>-</v>
      </c>
    </row>
    <row r="185" spans="1:6" ht="20" customHeight="1">
      <c r="A185" s="9"/>
      <c r="B185" s="3"/>
      <c r="C185" s="9" t="str">
        <f>IF(ISNUMBER(MATCH($A185, 대여현황!$A:$A, 0)), INDEX(대여현황!C:C, MATCH($A185, 대여현황!$A:$A, 0)), "")</f>
        <v/>
      </c>
      <c r="D185" s="9" t="str">
        <f>IF(ISNUMBER(MATCH($A185, 대여현황!$A:$A, 0)), INDEX(대여현황!D:D, MATCH($A185, 대여현황!$A:$A, 0)), "")</f>
        <v/>
      </c>
      <c r="E185" s="10" t="str">
        <f>IF(ISNUMBER(MATCH($A185, 대여현황!$A:$A, 0)), INDEX(대여현황!E:E, MATCH($A185, 대여현황!$A:$A, 0)), "")</f>
        <v/>
      </c>
      <c r="F185" s="22" t="str">
        <f>IF(ISNUMBER(MATCH($A185, 대여현황!$A:$A, 0)), INDEX(대여현황!F:F, MATCH($A185, 대여현황!$A:$A, 0)), "-")</f>
        <v>-</v>
      </c>
    </row>
    <row r="186" spans="1:6" ht="20" customHeight="1">
      <c r="A186" s="9"/>
      <c r="B186" s="3"/>
      <c r="C186" s="9" t="str">
        <f>IF(ISNUMBER(MATCH($A186, 대여현황!$A:$A, 0)), INDEX(대여현황!C:C, MATCH($A186, 대여현황!$A:$A, 0)), "")</f>
        <v/>
      </c>
      <c r="D186" s="9" t="str">
        <f>IF(ISNUMBER(MATCH($A186, 대여현황!$A:$A, 0)), INDEX(대여현황!D:D, MATCH($A186, 대여현황!$A:$A, 0)), "")</f>
        <v/>
      </c>
      <c r="E186" s="10" t="str">
        <f>IF(ISNUMBER(MATCH($A186, 대여현황!$A:$A, 0)), INDEX(대여현황!E:E, MATCH($A186, 대여현황!$A:$A, 0)), "")</f>
        <v/>
      </c>
      <c r="F186" s="22" t="str">
        <f>IF(ISNUMBER(MATCH($A186, 대여현황!$A:$A, 0)), INDEX(대여현황!F:F, MATCH($A186, 대여현황!$A:$A, 0)), "-")</f>
        <v>-</v>
      </c>
    </row>
    <row r="187" spans="1:6" ht="20" customHeight="1">
      <c r="A187" s="9"/>
      <c r="B187" s="3"/>
      <c r="C187" s="9" t="str">
        <f>IF(ISNUMBER(MATCH($A187, 대여현황!$A:$A, 0)), INDEX(대여현황!C:C, MATCH($A187, 대여현황!$A:$A, 0)), "")</f>
        <v/>
      </c>
      <c r="D187" s="9" t="str">
        <f>IF(ISNUMBER(MATCH($A187, 대여현황!$A:$A, 0)), INDEX(대여현황!D:D, MATCH($A187, 대여현황!$A:$A, 0)), "")</f>
        <v/>
      </c>
      <c r="E187" s="10" t="str">
        <f>IF(ISNUMBER(MATCH($A187, 대여현황!$A:$A, 0)), INDEX(대여현황!E:E, MATCH($A187, 대여현황!$A:$A, 0)), "")</f>
        <v/>
      </c>
      <c r="F187" s="22" t="str">
        <f>IF(ISNUMBER(MATCH($A187, 대여현황!$A:$A, 0)), INDEX(대여현황!F:F, MATCH($A187, 대여현황!$A:$A, 0)), "-")</f>
        <v>-</v>
      </c>
    </row>
    <row r="188" spans="1:6" ht="20" customHeight="1">
      <c r="A188" s="9"/>
      <c r="B188" s="3"/>
      <c r="C188" s="9" t="str">
        <f>IF(ISNUMBER(MATCH($A188, 대여현황!$A:$A, 0)), INDEX(대여현황!C:C, MATCH($A188, 대여현황!$A:$A, 0)), "")</f>
        <v/>
      </c>
      <c r="D188" s="9" t="str">
        <f>IF(ISNUMBER(MATCH($A188, 대여현황!$A:$A, 0)), INDEX(대여현황!D:D, MATCH($A188, 대여현황!$A:$A, 0)), "")</f>
        <v/>
      </c>
      <c r="E188" s="10" t="str">
        <f>IF(ISNUMBER(MATCH($A188, 대여현황!$A:$A, 0)), INDEX(대여현황!E:E, MATCH($A188, 대여현황!$A:$A, 0)), "")</f>
        <v/>
      </c>
      <c r="F188" s="22" t="str">
        <f>IF(ISNUMBER(MATCH($A188, 대여현황!$A:$A, 0)), INDEX(대여현황!F:F, MATCH($A188, 대여현황!$A:$A, 0)), "-")</f>
        <v>-</v>
      </c>
    </row>
    <row r="189" spans="1:6" ht="20" customHeight="1">
      <c r="A189" s="9"/>
      <c r="B189" s="3"/>
      <c r="C189" s="9" t="str">
        <f>IF(ISNUMBER(MATCH($A189, 대여현황!$A:$A, 0)), INDEX(대여현황!C:C, MATCH($A189, 대여현황!$A:$A, 0)), "")</f>
        <v/>
      </c>
      <c r="D189" s="9" t="str">
        <f>IF(ISNUMBER(MATCH($A189, 대여현황!$A:$A, 0)), INDEX(대여현황!D:D, MATCH($A189, 대여현황!$A:$A, 0)), "")</f>
        <v/>
      </c>
      <c r="E189" s="10" t="str">
        <f>IF(ISNUMBER(MATCH($A189, 대여현황!$A:$A, 0)), INDEX(대여현황!E:E, MATCH($A189, 대여현황!$A:$A, 0)), "")</f>
        <v/>
      </c>
      <c r="F189" s="22" t="str">
        <f>IF(ISNUMBER(MATCH($A189, 대여현황!$A:$A, 0)), INDEX(대여현황!F:F, MATCH($A189, 대여현황!$A:$A, 0)), "-")</f>
        <v>-</v>
      </c>
    </row>
    <row r="190" spans="1:6" ht="20" customHeight="1">
      <c r="A190" s="9"/>
      <c r="B190" s="3"/>
      <c r="C190" s="9" t="str">
        <f>IF(ISNUMBER(MATCH($A190, 대여현황!$A:$A, 0)), INDEX(대여현황!C:C, MATCH($A190, 대여현황!$A:$A, 0)), "")</f>
        <v/>
      </c>
      <c r="D190" s="9" t="str">
        <f>IF(ISNUMBER(MATCH($A190, 대여현황!$A:$A, 0)), INDEX(대여현황!D:D, MATCH($A190, 대여현황!$A:$A, 0)), "")</f>
        <v/>
      </c>
      <c r="E190" s="10" t="str">
        <f>IF(ISNUMBER(MATCH($A190, 대여현황!$A:$A, 0)), INDEX(대여현황!E:E, MATCH($A190, 대여현황!$A:$A, 0)), "")</f>
        <v/>
      </c>
      <c r="F190" s="22" t="str">
        <f>IF(ISNUMBER(MATCH($A190, 대여현황!$A:$A, 0)), INDEX(대여현황!F:F, MATCH($A190, 대여현황!$A:$A, 0)), "-")</f>
        <v>-</v>
      </c>
    </row>
    <row r="191" spans="1:6" ht="20" customHeight="1">
      <c r="A191" s="9"/>
      <c r="B191" s="3"/>
      <c r="C191" s="9" t="str">
        <f>IF(ISNUMBER(MATCH($A191, 대여현황!$A:$A, 0)), INDEX(대여현황!C:C, MATCH($A191, 대여현황!$A:$A, 0)), "")</f>
        <v/>
      </c>
      <c r="D191" s="9" t="str">
        <f>IF(ISNUMBER(MATCH($A191, 대여현황!$A:$A, 0)), INDEX(대여현황!D:D, MATCH($A191, 대여현황!$A:$A, 0)), "")</f>
        <v/>
      </c>
      <c r="E191" s="10" t="str">
        <f>IF(ISNUMBER(MATCH($A191, 대여현황!$A:$A, 0)), INDEX(대여현황!E:E, MATCH($A191, 대여현황!$A:$A, 0)), "")</f>
        <v/>
      </c>
      <c r="F191" s="22" t="str">
        <f>IF(ISNUMBER(MATCH($A191, 대여현황!$A:$A, 0)), INDEX(대여현황!F:F, MATCH($A191, 대여현황!$A:$A, 0)), "-")</f>
        <v>-</v>
      </c>
    </row>
    <row r="192" spans="1:6" ht="20" customHeight="1">
      <c r="A192" s="9"/>
      <c r="B192" s="3"/>
      <c r="C192" s="9" t="str">
        <f>IF(ISNUMBER(MATCH($A192, 대여현황!$A:$A, 0)), INDEX(대여현황!C:C, MATCH($A192, 대여현황!$A:$A, 0)), "")</f>
        <v/>
      </c>
      <c r="D192" s="9" t="str">
        <f>IF(ISNUMBER(MATCH($A192, 대여현황!$A:$A, 0)), INDEX(대여현황!D:D, MATCH($A192, 대여현황!$A:$A, 0)), "")</f>
        <v/>
      </c>
      <c r="E192" s="10" t="str">
        <f>IF(ISNUMBER(MATCH($A192, 대여현황!$A:$A, 0)), INDEX(대여현황!E:E, MATCH($A192, 대여현황!$A:$A, 0)), "")</f>
        <v/>
      </c>
      <c r="F192" s="22" t="str">
        <f>IF(ISNUMBER(MATCH($A192, 대여현황!$A:$A, 0)), INDEX(대여현황!F:F, MATCH($A192, 대여현황!$A:$A, 0)), "-")</f>
        <v>-</v>
      </c>
    </row>
    <row r="193" spans="1:6" ht="20" customHeight="1">
      <c r="A193" s="9"/>
      <c r="B193" s="3"/>
      <c r="C193" s="9" t="str">
        <f>IF(ISNUMBER(MATCH($A193, 대여현황!$A:$A, 0)), INDEX(대여현황!C:C, MATCH($A193, 대여현황!$A:$A, 0)), "")</f>
        <v/>
      </c>
      <c r="D193" s="9" t="str">
        <f>IF(ISNUMBER(MATCH($A193, 대여현황!$A:$A, 0)), INDEX(대여현황!D:D, MATCH($A193, 대여현황!$A:$A, 0)), "")</f>
        <v/>
      </c>
      <c r="E193" s="10" t="str">
        <f>IF(ISNUMBER(MATCH($A193, 대여현황!$A:$A, 0)), INDEX(대여현황!E:E, MATCH($A193, 대여현황!$A:$A, 0)), "")</f>
        <v/>
      </c>
      <c r="F193" s="22" t="str">
        <f>IF(ISNUMBER(MATCH($A193, 대여현황!$A:$A, 0)), INDEX(대여현황!F:F, MATCH($A193, 대여현황!$A:$A, 0)), "-")</f>
        <v>-</v>
      </c>
    </row>
    <row r="194" spans="1:6" ht="20" customHeight="1">
      <c r="A194" s="9"/>
      <c r="B194" s="3"/>
      <c r="C194" s="9" t="str">
        <f>IF(ISNUMBER(MATCH($A194, 대여현황!$A:$A, 0)), INDEX(대여현황!C:C, MATCH($A194, 대여현황!$A:$A, 0)), "")</f>
        <v/>
      </c>
      <c r="D194" s="9" t="str">
        <f>IF(ISNUMBER(MATCH($A194, 대여현황!$A:$A, 0)), INDEX(대여현황!D:D, MATCH($A194, 대여현황!$A:$A, 0)), "")</f>
        <v/>
      </c>
      <c r="E194" s="10" t="str">
        <f>IF(ISNUMBER(MATCH($A194, 대여현황!$A:$A, 0)), INDEX(대여현황!E:E, MATCH($A194, 대여현황!$A:$A, 0)), "")</f>
        <v/>
      </c>
      <c r="F194" s="22" t="str">
        <f>IF(ISNUMBER(MATCH($A194, 대여현황!$A:$A, 0)), INDEX(대여현황!F:F, MATCH($A194, 대여현황!$A:$A, 0)), "-")</f>
        <v>-</v>
      </c>
    </row>
    <row r="195" spans="1:6" ht="20" customHeight="1">
      <c r="A195" s="9"/>
      <c r="B195" s="3"/>
      <c r="C195" s="9" t="str">
        <f>IF(ISNUMBER(MATCH($A195, 대여현황!$A:$A, 0)), INDEX(대여현황!C:C, MATCH($A195, 대여현황!$A:$A, 0)), "")</f>
        <v/>
      </c>
      <c r="D195" s="9" t="str">
        <f>IF(ISNUMBER(MATCH($A195, 대여현황!$A:$A, 0)), INDEX(대여현황!D:D, MATCH($A195, 대여현황!$A:$A, 0)), "")</f>
        <v/>
      </c>
      <c r="E195" s="10" t="str">
        <f>IF(ISNUMBER(MATCH($A195, 대여현황!$A:$A, 0)), INDEX(대여현황!E:E, MATCH($A195, 대여현황!$A:$A, 0)), "")</f>
        <v/>
      </c>
      <c r="F195" s="22" t="str">
        <f>IF(ISNUMBER(MATCH($A195, 대여현황!$A:$A, 0)), INDEX(대여현황!F:F, MATCH($A195, 대여현황!$A:$A, 0)), "-")</f>
        <v>-</v>
      </c>
    </row>
    <row r="196" spans="1:6" ht="20" customHeight="1">
      <c r="A196" s="9"/>
      <c r="B196" s="3"/>
      <c r="C196" s="9" t="str">
        <f>IF(ISNUMBER(MATCH($A196, 대여현황!$A:$A, 0)), INDEX(대여현황!C:C, MATCH($A196, 대여현황!$A:$A, 0)), "")</f>
        <v/>
      </c>
      <c r="D196" s="9" t="str">
        <f>IF(ISNUMBER(MATCH($A196, 대여현황!$A:$A, 0)), INDEX(대여현황!D:D, MATCH($A196, 대여현황!$A:$A, 0)), "")</f>
        <v/>
      </c>
      <c r="E196" s="10" t="str">
        <f>IF(ISNUMBER(MATCH($A196, 대여현황!$A:$A, 0)), INDEX(대여현황!E:E, MATCH($A196, 대여현황!$A:$A, 0)), "")</f>
        <v/>
      </c>
      <c r="F196" s="22" t="str">
        <f>IF(ISNUMBER(MATCH($A196, 대여현황!$A:$A, 0)), INDEX(대여현황!F:F, MATCH($A196, 대여현황!$A:$A, 0)), "-")</f>
        <v>-</v>
      </c>
    </row>
    <row r="197" spans="1:6" ht="20" customHeight="1">
      <c r="A197" s="9"/>
      <c r="B197" s="3"/>
      <c r="C197" s="9" t="str">
        <f>IF(ISNUMBER(MATCH($A197, 대여현황!$A:$A, 0)), INDEX(대여현황!C:C, MATCH($A197, 대여현황!$A:$A, 0)), "")</f>
        <v/>
      </c>
      <c r="D197" s="9" t="str">
        <f>IF(ISNUMBER(MATCH($A197, 대여현황!$A:$A, 0)), INDEX(대여현황!D:D, MATCH($A197, 대여현황!$A:$A, 0)), "")</f>
        <v/>
      </c>
      <c r="E197" s="10" t="str">
        <f>IF(ISNUMBER(MATCH($A197, 대여현황!$A:$A, 0)), INDEX(대여현황!E:E, MATCH($A197, 대여현황!$A:$A, 0)), "")</f>
        <v/>
      </c>
      <c r="F197" s="22" t="str">
        <f>IF(ISNUMBER(MATCH($A197, 대여현황!$A:$A, 0)), INDEX(대여현황!F:F, MATCH($A197, 대여현황!$A:$A, 0)), "-")</f>
        <v>-</v>
      </c>
    </row>
    <row r="198" spans="1:6" ht="20" customHeight="1">
      <c r="A198" s="9"/>
      <c r="B198" s="3"/>
      <c r="C198" s="9" t="str">
        <f>IF(ISNUMBER(MATCH($A198, 대여현황!$A:$A, 0)), INDEX(대여현황!C:C, MATCH($A198, 대여현황!$A:$A, 0)), "")</f>
        <v/>
      </c>
      <c r="D198" s="9" t="str">
        <f>IF(ISNUMBER(MATCH($A198, 대여현황!$A:$A, 0)), INDEX(대여현황!D:D, MATCH($A198, 대여현황!$A:$A, 0)), "")</f>
        <v/>
      </c>
      <c r="E198" s="10" t="str">
        <f>IF(ISNUMBER(MATCH($A198, 대여현황!$A:$A, 0)), INDEX(대여현황!E:E, MATCH($A198, 대여현황!$A:$A, 0)), "")</f>
        <v/>
      </c>
      <c r="F198" s="22" t="str">
        <f>IF(ISNUMBER(MATCH($A198, 대여현황!$A:$A, 0)), INDEX(대여현황!F:F, MATCH($A198, 대여현황!$A:$A, 0)), "-")</f>
        <v>-</v>
      </c>
    </row>
    <row r="199" spans="1:6" ht="20" customHeight="1">
      <c r="A199" s="9"/>
      <c r="B199" s="3"/>
      <c r="C199" s="9" t="str">
        <f>IF(ISNUMBER(MATCH($A199, 대여현황!$A:$A, 0)), INDEX(대여현황!C:C, MATCH($A199, 대여현황!$A:$A, 0)), "")</f>
        <v/>
      </c>
      <c r="D199" s="9" t="str">
        <f>IF(ISNUMBER(MATCH($A199, 대여현황!$A:$A, 0)), INDEX(대여현황!D:D, MATCH($A199, 대여현황!$A:$A, 0)), "")</f>
        <v/>
      </c>
      <c r="E199" s="10" t="str">
        <f>IF(ISNUMBER(MATCH($A199, 대여현황!$A:$A, 0)), INDEX(대여현황!E:E, MATCH($A199, 대여현황!$A:$A, 0)), "")</f>
        <v/>
      </c>
      <c r="F199" s="22" t="str">
        <f>IF(ISNUMBER(MATCH($A199, 대여현황!$A:$A, 0)), INDEX(대여현황!F:F, MATCH($A199, 대여현황!$A:$A, 0)), "-")</f>
        <v>-</v>
      </c>
    </row>
    <row r="200" spans="1:6" ht="20" customHeight="1">
      <c r="A200" s="9"/>
      <c r="B200" s="3"/>
      <c r="C200" s="9" t="str">
        <f>IF(ISNUMBER(MATCH($A200, 대여현황!$A:$A, 0)), INDEX(대여현황!C:C, MATCH($A200, 대여현황!$A:$A, 0)), "")</f>
        <v/>
      </c>
      <c r="D200" s="9" t="str">
        <f>IF(ISNUMBER(MATCH($A200, 대여현황!$A:$A, 0)), INDEX(대여현황!D:D, MATCH($A200, 대여현황!$A:$A, 0)), "")</f>
        <v/>
      </c>
      <c r="E200" s="10" t="str">
        <f>IF(ISNUMBER(MATCH($A200, 대여현황!$A:$A, 0)), INDEX(대여현황!E:E, MATCH($A200, 대여현황!$A:$A, 0)), "")</f>
        <v/>
      </c>
      <c r="F200" s="22" t="str">
        <f>IF(ISNUMBER(MATCH($A200, 대여현황!$A:$A, 0)), INDEX(대여현황!F:F, MATCH($A200, 대여현황!$A:$A, 0)), "-")</f>
        <v>-</v>
      </c>
    </row>
  </sheetData>
  <autoFilter ref="A2:F200" xr:uid="{E658A5F4-9A6C-B948-98FA-76DE05159603}"/>
  <mergeCells count="6">
    <mergeCell ref="Q1:R2"/>
    <mergeCell ref="A1:F1"/>
    <mergeCell ref="H1:I2"/>
    <mergeCell ref="J1:K2"/>
    <mergeCell ref="L1:M2"/>
    <mergeCell ref="O1:P2"/>
  </mergeCells>
  <phoneticPr fontId="4" type="noConversion"/>
  <conditionalFormatting sqref="A1:F1048576">
    <cfRule type="expression" dxfId="2" priority="1">
      <formula>$F1="소실"</formula>
    </cfRule>
    <cfRule type="expression" dxfId="1" priority="2">
      <formula>$F1="일반대여"</formula>
    </cfRule>
    <cfRule type="expression" dxfId="0" priority="3">
      <formula>$F1="장기대여"</formula>
    </cfRule>
  </conditionalFormatting>
  <hyperlinks>
    <hyperlink ref="H1:I2" location="'TAM-T'!A1" display="TAM-T" xr:uid="{0690F7A7-975B-5442-B5EB-FE33B1ABCB5F}"/>
    <hyperlink ref="J1:K2" location="'TAM-A'!A1" display="TAM-A" xr:uid="{EFBE972D-F6AF-AB47-8C47-59F8EAC45BA3}"/>
    <hyperlink ref="L1:M2" location="'TAM-M'!A1" display="TAM-M" xr:uid="{D210C41C-AD53-BE4F-9766-B9A52FC91F56}"/>
    <hyperlink ref="O1:P2" location="'NA-N'!A1" display="NA-N" xr:uid="{96333028-D006-D246-8EC4-BC763F2FE12D}"/>
    <hyperlink ref="Q1:R2" location="대여현황!A1" display="대여현황" xr:uid="{F2423DBD-B5C1-8347-856A-751168C350A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70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대여현황</vt:lpstr>
      <vt:lpstr>TAM-T</vt:lpstr>
      <vt:lpstr>TAM-A</vt:lpstr>
      <vt:lpstr>TAM-M</vt:lpstr>
      <vt:lpstr>NA-N</vt:lpstr>
      <vt:lpstr>NA-A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OCS</dc:creator>
  <cp:lastModifiedBy>Microsoft Office User</cp:lastModifiedBy>
  <cp:revision>31</cp:revision>
  <cp:lastPrinted>2022-09-26T04:04:34Z</cp:lastPrinted>
  <dcterms:created xsi:type="dcterms:W3CDTF">2022-08-02T03:13:54Z</dcterms:created>
  <dcterms:modified xsi:type="dcterms:W3CDTF">2023-08-08T06:00:17Z</dcterms:modified>
  <cp:version>1200.0100.01</cp:version>
</cp:coreProperties>
</file>